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cuments\CSC\Project\VBA\"/>
    </mc:Choice>
  </mc:AlternateContent>
  <xr:revisionPtr revIDLastSave="0" documentId="13_ncr:1_{35C3B85A-EFE6-46B6-9D31-EF85ABA9451E}" xr6:coauthVersionLast="47" xr6:coauthVersionMax="47" xr10:uidLastSave="{00000000-0000-0000-0000-000000000000}"/>
  <bookViews>
    <workbookView xWindow="-120" yWindow="-120" windowWidth="20730" windowHeight="11040" xr2:uid="{899B4939-04D4-49FD-A796-4B13BD4D1C10}"/>
  </bookViews>
  <sheets>
    <sheet name="Schedule" sheetId="1" r:id="rId1"/>
    <sheet name="2021" sheetId="5" r:id="rId2"/>
    <sheet name="2022" sheetId="4" r:id="rId3"/>
    <sheet name="2023" sheetId="6" r:id="rId4"/>
    <sheet name="2024" sheetId="7" r:id="rId5"/>
    <sheet name="2025" sheetId="3" r:id="rId6"/>
    <sheet name="Sheet2" sheetId="2" r:id="rId7"/>
  </sheets>
  <definedNames>
    <definedName name="_xleta.DAY" hidden="1" xlm="1">#NAME?</definedName>
    <definedName name="_xleta.DAYS" hidden="1" xlm="1">#NAME?</definedName>
    <definedName name="ScYear">Schedule!$D$2</definedName>
    <definedName name="StartDay">Schedule!$I$2</definedName>
    <definedName name="StartDayNum">Sheet2!$B$8</definedName>
    <definedName name="WeekDay">Sheet2!$A$1:$A$7</definedName>
    <definedName name="WeekDayAbb">Sheet2!$B$1:$B$7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Z14" i="1"/>
  <c r="AA14" i="1" s="1" a="1"/>
  <c r="AA14" i="1" s="1"/>
  <c r="AB14" i="1" s="1" a="1"/>
  <c r="AB14" i="1" s="1"/>
  <c r="AC14" i="1" s="1" a="1"/>
  <c r="AC14" i="1" s="1"/>
  <c r="AD14" i="1" s="1" a="1"/>
  <c r="AD14" i="1" s="1"/>
  <c r="AE14" i="1" s="1" a="1"/>
  <c r="AE14" i="1" s="1"/>
  <c r="AF14" i="1" s="1" a="1"/>
  <c r="AF14" i="1" s="1"/>
  <c r="B5" i="1"/>
  <c r="C5" i="1" s="1" a="1"/>
  <c r="C5" i="1" s="1"/>
  <c r="Z22" i="1"/>
  <c r="R22" i="1"/>
  <c r="J22" i="1"/>
  <c r="B22" i="1"/>
  <c r="Z13" i="1"/>
  <c r="R13" i="1"/>
  <c r="J13" i="1"/>
  <c r="B13" i="1"/>
  <c r="Z23" i="1"/>
  <c r="AA23" i="1" s="1" a="1"/>
  <c r="AA23" i="1" s="1"/>
  <c r="AB23" i="1" s="1" a="1"/>
  <c r="AB23" i="1" s="1"/>
  <c r="AC23" i="1" s="1" a="1"/>
  <c r="AC23" i="1" s="1"/>
  <c r="AD23" i="1" s="1" a="1"/>
  <c r="AD23" i="1" s="1"/>
  <c r="AE23" i="1" s="1" a="1"/>
  <c r="AE23" i="1" s="1"/>
  <c r="AF23" i="1" s="1" a="1"/>
  <c r="AF23" i="1" s="1"/>
  <c r="R23" i="1"/>
  <c r="S23" i="1" s="1" a="1"/>
  <c r="S23" i="1" s="1"/>
  <c r="T23" i="1" s="1" a="1"/>
  <c r="T23" i="1" s="1"/>
  <c r="U23" i="1" s="1" a="1"/>
  <c r="U23" i="1" s="1"/>
  <c r="V23" i="1" s="1" a="1"/>
  <c r="V23" i="1" s="1"/>
  <c r="W23" i="1" s="1" a="1"/>
  <c r="W23" i="1" s="1"/>
  <c r="X23" i="1" s="1" a="1"/>
  <c r="X23" i="1" s="1"/>
  <c r="J23" i="1"/>
  <c r="K23" i="1" s="1" a="1"/>
  <c r="K23" i="1" s="1"/>
  <c r="L23" i="1" s="1" a="1"/>
  <c r="L23" i="1" s="1"/>
  <c r="M23" i="1" s="1" a="1"/>
  <c r="M23" i="1" s="1"/>
  <c r="N23" i="1" s="1" a="1"/>
  <c r="N23" i="1" s="1"/>
  <c r="O23" i="1" s="1" a="1"/>
  <c r="O23" i="1" s="1"/>
  <c r="P23" i="1" s="1" a="1"/>
  <c r="P23" i="1" s="1"/>
  <c r="B23" i="1"/>
  <c r="C23" i="1" s="1" a="1"/>
  <c r="C23" i="1" s="1"/>
  <c r="D23" i="1" s="1" a="1"/>
  <c r="D23" i="1" s="1"/>
  <c r="E23" i="1" s="1" a="1"/>
  <c r="E23" i="1" s="1"/>
  <c r="F23" i="1" s="1" a="1"/>
  <c r="F23" i="1" s="1"/>
  <c r="G23" i="1" s="1" a="1"/>
  <c r="G23" i="1" s="1"/>
  <c r="H23" i="1" s="1" a="1"/>
  <c r="H23" i="1" s="1"/>
  <c r="R14" i="1"/>
  <c r="S14" i="1" s="1" a="1"/>
  <c r="S14" i="1" s="1"/>
  <c r="T14" i="1" s="1" a="1"/>
  <c r="T14" i="1" s="1"/>
  <c r="U14" i="1" s="1" a="1"/>
  <c r="U14" i="1" s="1"/>
  <c r="V14" i="1" s="1" a="1"/>
  <c r="V14" i="1" s="1"/>
  <c r="W14" i="1" s="1" a="1"/>
  <c r="W14" i="1" s="1"/>
  <c r="X14" i="1" s="1" a="1"/>
  <c r="X14" i="1" s="1"/>
  <c r="J14" i="1"/>
  <c r="K14" i="1" s="1" a="1"/>
  <c r="K14" i="1" s="1"/>
  <c r="L14" i="1" s="1" a="1"/>
  <c r="L14" i="1" s="1"/>
  <c r="M14" i="1" s="1" a="1"/>
  <c r="M14" i="1" s="1"/>
  <c r="N14" i="1" s="1" a="1"/>
  <c r="N14" i="1" s="1"/>
  <c r="O14" i="1" s="1" a="1"/>
  <c r="O14" i="1" s="1"/>
  <c r="P14" i="1" s="1" a="1"/>
  <c r="P14" i="1" s="1"/>
  <c r="B14" i="1"/>
  <c r="C14" i="1" s="1" a="1"/>
  <c r="C14" i="1" s="1"/>
  <c r="D14" i="1" s="1" a="1"/>
  <c r="D14" i="1" s="1"/>
  <c r="E14" i="1" s="1" a="1"/>
  <c r="E14" i="1" s="1"/>
  <c r="F14" i="1" s="1" a="1"/>
  <c r="F14" i="1" s="1"/>
  <c r="G14" i="1" s="1" a="1"/>
  <c r="G14" i="1" s="1"/>
  <c r="H14" i="1" s="1" a="1"/>
  <c r="H14" i="1" s="1"/>
  <c r="Z4" i="1"/>
  <c r="Z5" i="1"/>
  <c r="AA5" i="1" s="1" a="1"/>
  <c r="AA5" i="1" s="1"/>
  <c r="AB5" i="1" s="1" a="1"/>
  <c r="AB5" i="1" s="1"/>
  <c r="AC5" i="1" s="1" a="1"/>
  <c r="AC5" i="1" s="1"/>
  <c r="AD5" i="1" s="1" a="1"/>
  <c r="AD5" i="1" s="1"/>
  <c r="AE5" i="1" s="1" a="1"/>
  <c r="AE5" i="1" s="1"/>
  <c r="AF5" i="1" s="1" a="1"/>
  <c r="AF5" i="1" s="1"/>
  <c r="R4" i="1"/>
  <c r="R5" i="1"/>
  <c r="S5" i="1" s="1" a="1"/>
  <c r="S5" i="1" s="1"/>
  <c r="T5" i="1" s="1" a="1"/>
  <c r="T5" i="1" s="1"/>
  <c r="U5" i="1" s="1" a="1"/>
  <c r="U5" i="1" s="1"/>
  <c r="V5" i="1" s="1" a="1"/>
  <c r="V5" i="1" s="1"/>
  <c r="W5" i="1" s="1" a="1"/>
  <c r="W5" i="1" s="1"/>
  <c r="X5" i="1" s="1" a="1"/>
  <c r="X5" i="1" s="1"/>
  <c r="J4" i="1"/>
  <c r="J5" i="1"/>
  <c r="K5" i="1" s="1" a="1"/>
  <c r="K5" i="1" s="1"/>
  <c r="L5" i="1" s="1" a="1"/>
  <c r="L5" i="1" s="1"/>
  <c r="M5" i="1" s="1" a="1"/>
  <c r="M5" i="1" s="1"/>
  <c r="N5" i="1" s="1" a="1"/>
  <c r="N5" i="1" s="1"/>
  <c r="O5" i="1" s="1" a="1"/>
  <c r="O5" i="1" s="1"/>
  <c r="P5" i="1" s="1" a="1"/>
  <c r="P5" i="1" s="1"/>
  <c r="B8" i="2"/>
  <c r="R6" i="1" l="1"/>
  <c r="S6" i="1" s="1"/>
  <c r="T6" i="1" s="1"/>
  <c r="U6" i="1" s="1"/>
  <c r="V6" i="1" s="1"/>
  <c r="W6" i="1" s="1"/>
  <c r="X6" i="1" s="1"/>
  <c r="R7" i="1" s="1"/>
  <c r="S7" i="1" s="1"/>
  <c r="T7" i="1" s="1"/>
  <c r="U7" i="1" s="1"/>
  <c r="V7" i="1" s="1"/>
  <c r="W7" i="1" s="1"/>
  <c r="X7" i="1" s="1"/>
  <c r="R8" i="1" s="1"/>
  <c r="S8" i="1" s="1"/>
  <c r="T8" i="1" s="1"/>
  <c r="U8" i="1" s="1"/>
  <c r="V8" i="1" s="1"/>
  <c r="W8" i="1" s="1"/>
  <c r="X8" i="1" s="1"/>
  <c r="R9" i="1" s="1"/>
  <c r="S9" i="1" s="1"/>
  <c r="T9" i="1" s="1"/>
  <c r="U9" i="1" s="1"/>
  <c r="V9" i="1" s="1"/>
  <c r="W9" i="1" s="1"/>
  <c r="X9" i="1" s="1"/>
  <c r="R10" i="1" s="1"/>
  <c r="S10" i="1" s="1"/>
  <c r="T10" i="1" s="1"/>
  <c r="U10" i="1" s="1"/>
  <c r="V10" i="1" s="1"/>
  <c r="W10" i="1" s="1"/>
  <c r="X10" i="1" s="1"/>
  <c r="R11" i="1" s="1"/>
  <c r="S11" i="1" s="1"/>
  <c r="T11" i="1" s="1"/>
  <c r="U11" i="1" s="1"/>
  <c r="V11" i="1" s="1"/>
  <c r="W11" i="1" s="1"/>
  <c r="X11" i="1" s="1"/>
  <c r="J6" i="1"/>
  <c r="K6" i="1" s="1"/>
  <c r="L6" i="1" s="1"/>
  <c r="M6" i="1" s="1"/>
  <c r="N6" i="1" s="1"/>
  <c r="O6" i="1" s="1"/>
  <c r="P6" i="1" s="1"/>
  <c r="J7" i="1" s="1"/>
  <c r="K7" i="1" s="1"/>
  <c r="L7" i="1" s="1"/>
  <c r="M7" i="1" s="1"/>
  <c r="N7" i="1" s="1"/>
  <c r="O7" i="1" s="1"/>
  <c r="P7" i="1" s="1"/>
  <c r="J8" i="1" s="1"/>
  <c r="K8" i="1" s="1"/>
  <c r="L8" i="1" s="1"/>
  <c r="M8" i="1" s="1"/>
  <c r="N8" i="1" s="1"/>
  <c r="O8" i="1" s="1"/>
  <c r="P8" i="1" s="1"/>
  <c r="J9" i="1" s="1"/>
  <c r="K9" i="1" s="1"/>
  <c r="L9" i="1" s="1"/>
  <c r="M9" i="1" s="1"/>
  <c r="N9" i="1" s="1"/>
  <c r="O9" i="1" s="1"/>
  <c r="P9" i="1" s="1"/>
  <c r="J10" i="1" s="1"/>
  <c r="K10" i="1" s="1"/>
  <c r="L10" i="1" s="1"/>
  <c r="M10" i="1" s="1"/>
  <c r="N10" i="1" s="1"/>
  <c r="O10" i="1" s="1"/>
  <c r="P10" i="1" s="1"/>
  <c r="J11" i="1" s="1"/>
  <c r="K11" i="1" s="1"/>
  <c r="L11" i="1" s="1"/>
  <c r="M11" i="1" s="1"/>
  <c r="N11" i="1" s="1"/>
  <c r="O11" i="1" s="1"/>
  <c r="P11" i="1" s="1"/>
  <c r="B15" i="1"/>
  <c r="C15" i="1" s="1"/>
  <c r="D15" i="1" s="1"/>
  <c r="E15" i="1" s="1"/>
  <c r="F15" i="1" s="1"/>
  <c r="G15" i="1" s="1"/>
  <c r="H15" i="1" s="1"/>
  <c r="B16" i="1" s="1"/>
  <c r="C16" i="1" s="1"/>
  <c r="D16" i="1" s="1"/>
  <c r="E16" i="1" s="1"/>
  <c r="F16" i="1" s="1"/>
  <c r="G16" i="1" s="1"/>
  <c r="H16" i="1" s="1"/>
  <c r="B17" i="1" s="1"/>
  <c r="C17" i="1" s="1"/>
  <c r="D17" i="1" s="1"/>
  <c r="E17" i="1" s="1"/>
  <c r="F17" i="1" s="1"/>
  <c r="G17" i="1" s="1"/>
  <c r="H17" i="1" s="1"/>
  <c r="B18" i="1" s="1"/>
  <c r="C18" i="1" s="1"/>
  <c r="D18" i="1" s="1"/>
  <c r="E18" i="1" s="1"/>
  <c r="F18" i="1" s="1"/>
  <c r="G18" i="1" s="1"/>
  <c r="H18" i="1" s="1"/>
  <c r="B19" i="1" s="1"/>
  <c r="C19" i="1" s="1"/>
  <c r="D19" i="1" s="1"/>
  <c r="E19" i="1" s="1"/>
  <c r="F19" i="1" s="1"/>
  <c r="G19" i="1" s="1"/>
  <c r="H19" i="1" s="1"/>
  <c r="B20" i="1" s="1"/>
  <c r="C20" i="1" s="1"/>
  <c r="D20" i="1" s="1"/>
  <c r="E20" i="1" s="1"/>
  <c r="F20" i="1" s="1"/>
  <c r="G20" i="1" s="1"/>
  <c r="H20" i="1" s="1"/>
  <c r="J15" i="1"/>
  <c r="K15" i="1" s="1"/>
  <c r="L15" i="1" s="1"/>
  <c r="M15" i="1" s="1"/>
  <c r="N15" i="1" s="1"/>
  <c r="O15" i="1" s="1"/>
  <c r="P15" i="1" s="1"/>
  <c r="J16" i="1" s="1"/>
  <c r="K16" i="1" s="1"/>
  <c r="L16" i="1" s="1"/>
  <c r="M16" i="1" s="1"/>
  <c r="N16" i="1" s="1"/>
  <c r="O16" i="1" s="1"/>
  <c r="P16" i="1" s="1"/>
  <c r="J17" i="1" s="1"/>
  <c r="K17" i="1" s="1"/>
  <c r="L17" i="1" s="1"/>
  <c r="M17" i="1" s="1"/>
  <c r="N17" i="1" s="1"/>
  <c r="O17" i="1" s="1"/>
  <c r="P17" i="1" s="1"/>
  <c r="J18" i="1" s="1"/>
  <c r="K18" i="1" s="1"/>
  <c r="L18" i="1" s="1"/>
  <c r="M18" i="1" s="1"/>
  <c r="N18" i="1" s="1"/>
  <c r="O18" i="1" s="1"/>
  <c r="P18" i="1" s="1"/>
  <c r="J19" i="1" s="1"/>
  <c r="K19" i="1" s="1"/>
  <c r="L19" i="1" s="1"/>
  <c r="M19" i="1" s="1"/>
  <c r="N19" i="1" s="1"/>
  <c r="O19" i="1" s="1"/>
  <c r="P19" i="1" s="1"/>
  <c r="J20" i="1" s="1"/>
  <c r="K20" i="1" s="1"/>
  <c r="L20" i="1" s="1"/>
  <c r="M20" i="1" s="1"/>
  <c r="N20" i="1" s="1"/>
  <c r="O20" i="1" s="1"/>
  <c r="P20" i="1" s="1"/>
  <c r="R15" i="1"/>
  <c r="S15" i="1" s="1"/>
  <c r="T15" i="1" s="1"/>
  <c r="U15" i="1" s="1"/>
  <c r="V15" i="1" s="1"/>
  <c r="W15" i="1" s="1"/>
  <c r="X15" i="1" s="1"/>
  <c r="R16" i="1" s="1"/>
  <c r="S16" i="1" s="1"/>
  <c r="T16" i="1" s="1"/>
  <c r="U16" i="1" s="1"/>
  <c r="V16" i="1" s="1"/>
  <c r="W16" i="1" s="1"/>
  <c r="X16" i="1" s="1"/>
  <c r="R17" i="1" s="1"/>
  <c r="S17" i="1" s="1"/>
  <c r="T17" i="1" s="1"/>
  <c r="U17" i="1" s="1"/>
  <c r="V17" i="1" s="1"/>
  <c r="W17" i="1" s="1"/>
  <c r="X17" i="1" s="1"/>
  <c r="R18" i="1" s="1"/>
  <c r="S18" i="1" s="1"/>
  <c r="T18" i="1" s="1"/>
  <c r="U18" i="1" s="1"/>
  <c r="V18" i="1" s="1"/>
  <c r="W18" i="1" s="1"/>
  <c r="X18" i="1" s="1"/>
  <c r="R19" i="1" s="1"/>
  <c r="S19" i="1" s="1"/>
  <c r="T19" i="1" s="1"/>
  <c r="U19" i="1" s="1"/>
  <c r="V19" i="1" s="1"/>
  <c r="W19" i="1" s="1"/>
  <c r="X19" i="1" s="1"/>
  <c r="R20" i="1" s="1"/>
  <c r="S20" i="1" s="1"/>
  <c r="T20" i="1" s="1"/>
  <c r="U20" i="1" s="1"/>
  <c r="V20" i="1" s="1"/>
  <c r="W20" i="1" s="1"/>
  <c r="X20" i="1" s="1"/>
  <c r="Z6" i="1"/>
  <c r="AA6" i="1" s="1"/>
  <c r="AB6" i="1" s="1"/>
  <c r="AC6" i="1" s="1"/>
  <c r="AD6" i="1" s="1"/>
  <c r="AE6" i="1" s="1"/>
  <c r="AF6" i="1" s="1"/>
  <c r="Z7" i="1" s="1"/>
  <c r="AA7" i="1" s="1"/>
  <c r="AB7" i="1" s="1"/>
  <c r="AC7" i="1" s="1"/>
  <c r="AD7" i="1" s="1"/>
  <c r="AE7" i="1" s="1"/>
  <c r="AF7" i="1" s="1"/>
  <c r="Z8" i="1" s="1"/>
  <c r="AA8" i="1" s="1"/>
  <c r="AB8" i="1" s="1"/>
  <c r="AC8" i="1" s="1"/>
  <c r="AD8" i="1" s="1"/>
  <c r="AE8" i="1" s="1"/>
  <c r="AF8" i="1" s="1"/>
  <c r="Z9" i="1" s="1"/>
  <c r="AA9" i="1" s="1"/>
  <c r="AB9" i="1" s="1"/>
  <c r="AC9" i="1" s="1"/>
  <c r="AD9" i="1" s="1"/>
  <c r="AE9" i="1" s="1"/>
  <c r="AF9" i="1" s="1"/>
  <c r="Z10" i="1" s="1"/>
  <c r="AA10" i="1" s="1"/>
  <c r="AB10" i="1" s="1"/>
  <c r="AC10" i="1" s="1"/>
  <c r="AD10" i="1" s="1"/>
  <c r="AE10" i="1" s="1"/>
  <c r="AF10" i="1" s="1"/>
  <c r="Z11" i="1" s="1"/>
  <c r="AA11" i="1" s="1"/>
  <c r="AB11" i="1" s="1"/>
  <c r="AC11" i="1" s="1"/>
  <c r="AD11" i="1" s="1"/>
  <c r="AE11" i="1" s="1"/>
  <c r="AF11" i="1" s="1"/>
  <c r="Z15" i="1"/>
  <c r="AA15" i="1" s="1"/>
  <c r="AB15" i="1" s="1"/>
  <c r="AC15" i="1" s="1"/>
  <c r="AD15" i="1" s="1"/>
  <c r="AE15" i="1" s="1"/>
  <c r="AF15" i="1" s="1"/>
  <c r="Z16" i="1" s="1"/>
  <c r="AA16" i="1" s="1"/>
  <c r="AB16" i="1" s="1"/>
  <c r="AC16" i="1" s="1"/>
  <c r="AD16" i="1" s="1"/>
  <c r="AE16" i="1" s="1"/>
  <c r="AF16" i="1" s="1"/>
  <c r="Z17" i="1" s="1"/>
  <c r="AA17" i="1" s="1"/>
  <c r="AB17" i="1" s="1"/>
  <c r="AC17" i="1" s="1"/>
  <c r="AD17" i="1" s="1"/>
  <c r="AE17" i="1" s="1"/>
  <c r="AF17" i="1" s="1"/>
  <c r="Z18" i="1" s="1"/>
  <c r="AA18" i="1" s="1"/>
  <c r="AB18" i="1" s="1"/>
  <c r="AC18" i="1" s="1"/>
  <c r="AD18" i="1" s="1"/>
  <c r="AE18" i="1" s="1"/>
  <c r="AF18" i="1" s="1"/>
  <c r="Z19" i="1" s="1"/>
  <c r="AA19" i="1" s="1"/>
  <c r="AB19" i="1" s="1"/>
  <c r="AC19" i="1" s="1"/>
  <c r="AD19" i="1" s="1"/>
  <c r="AE19" i="1" s="1"/>
  <c r="AF19" i="1" s="1"/>
  <c r="Z20" i="1" s="1"/>
  <c r="AA20" i="1" s="1"/>
  <c r="AB20" i="1" s="1"/>
  <c r="AC20" i="1" s="1"/>
  <c r="AD20" i="1" s="1"/>
  <c r="AE20" i="1" s="1"/>
  <c r="AF20" i="1" s="1"/>
  <c r="B24" i="1"/>
  <c r="C24" i="1" s="1"/>
  <c r="D24" i="1" s="1"/>
  <c r="E24" i="1" s="1"/>
  <c r="F24" i="1" s="1"/>
  <c r="G24" i="1" s="1"/>
  <c r="H24" i="1" s="1"/>
  <c r="B25" i="1" s="1"/>
  <c r="C25" i="1" s="1"/>
  <c r="D25" i="1" s="1"/>
  <c r="E25" i="1" s="1"/>
  <c r="F25" i="1" s="1"/>
  <c r="G25" i="1" s="1"/>
  <c r="H25" i="1" s="1"/>
  <c r="B26" i="1" s="1"/>
  <c r="C26" i="1" s="1"/>
  <c r="D26" i="1" s="1"/>
  <c r="E26" i="1" s="1"/>
  <c r="F26" i="1" s="1"/>
  <c r="G26" i="1" s="1"/>
  <c r="H26" i="1" s="1"/>
  <c r="B27" i="1" s="1"/>
  <c r="C27" i="1" s="1"/>
  <c r="D27" i="1" s="1"/>
  <c r="E27" i="1" s="1"/>
  <c r="F27" i="1" s="1"/>
  <c r="G27" i="1" s="1"/>
  <c r="H27" i="1" s="1"/>
  <c r="B28" i="1" s="1"/>
  <c r="C28" i="1" s="1"/>
  <c r="D28" i="1" s="1"/>
  <c r="E28" i="1" s="1"/>
  <c r="F28" i="1" s="1"/>
  <c r="G28" i="1" s="1"/>
  <c r="H28" i="1" s="1"/>
  <c r="B29" i="1" s="1"/>
  <c r="C29" i="1" s="1"/>
  <c r="D29" i="1" s="1"/>
  <c r="E29" i="1" s="1"/>
  <c r="F29" i="1" s="1"/>
  <c r="G29" i="1" s="1"/>
  <c r="H29" i="1" s="1"/>
  <c r="B6" i="1"/>
  <c r="C6" i="1" s="1"/>
  <c r="D6" i="1" s="1"/>
  <c r="J24" i="1"/>
  <c r="K24" i="1" s="1"/>
  <c r="L24" i="1" s="1"/>
  <c r="M24" i="1" s="1"/>
  <c r="N24" i="1" s="1"/>
  <c r="O24" i="1" s="1"/>
  <c r="P24" i="1" s="1"/>
  <c r="J25" i="1" s="1"/>
  <c r="K25" i="1" s="1"/>
  <c r="L25" i="1" s="1"/>
  <c r="M25" i="1" s="1"/>
  <c r="N25" i="1" s="1"/>
  <c r="O25" i="1" s="1"/>
  <c r="P25" i="1" s="1"/>
  <c r="J26" i="1" s="1"/>
  <c r="K26" i="1" s="1"/>
  <c r="L26" i="1" s="1"/>
  <c r="M26" i="1" s="1"/>
  <c r="N26" i="1" s="1"/>
  <c r="O26" i="1" s="1"/>
  <c r="P26" i="1" s="1"/>
  <c r="J27" i="1" s="1"/>
  <c r="K27" i="1" s="1"/>
  <c r="L27" i="1" s="1"/>
  <c r="M27" i="1" s="1"/>
  <c r="N27" i="1" s="1"/>
  <c r="O27" i="1" s="1"/>
  <c r="P27" i="1" s="1"/>
  <c r="J28" i="1" s="1"/>
  <c r="K28" i="1" s="1"/>
  <c r="L28" i="1" s="1"/>
  <c r="M28" i="1" s="1"/>
  <c r="N28" i="1" s="1"/>
  <c r="O28" i="1" s="1"/>
  <c r="P28" i="1" s="1"/>
  <c r="J29" i="1" s="1"/>
  <c r="K29" i="1" s="1"/>
  <c r="L29" i="1" s="1"/>
  <c r="M29" i="1" s="1"/>
  <c r="N29" i="1" s="1"/>
  <c r="O29" i="1" s="1"/>
  <c r="P29" i="1" s="1"/>
  <c r="R24" i="1"/>
  <c r="S24" i="1" s="1"/>
  <c r="T24" i="1" s="1"/>
  <c r="U24" i="1" s="1"/>
  <c r="V24" i="1" s="1"/>
  <c r="W24" i="1" s="1"/>
  <c r="X24" i="1" s="1"/>
  <c r="R25" i="1" s="1"/>
  <c r="S25" i="1" s="1"/>
  <c r="T25" i="1" s="1"/>
  <c r="U25" i="1" s="1"/>
  <c r="V25" i="1" s="1"/>
  <c r="W25" i="1" s="1"/>
  <c r="X25" i="1" s="1"/>
  <c r="R26" i="1" s="1"/>
  <c r="S26" i="1" s="1"/>
  <c r="T26" i="1" s="1"/>
  <c r="U26" i="1" s="1"/>
  <c r="V26" i="1" s="1"/>
  <c r="W26" i="1" s="1"/>
  <c r="X26" i="1" s="1"/>
  <c r="R27" i="1" s="1"/>
  <c r="S27" i="1" s="1"/>
  <c r="T27" i="1" s="1"/>
  <c r="U27" i="1" s="1"/>
  <c r="V27" i="1" s="1"/>
  <c r="W27" i="1" s="1"/>
  <c r="X27" i="1" s="1"/>
  <c r="R28" i="1" s="1"/>
  <c r="S28" i="1" s="1"/>
  <c r="T28" i="1" s="1"/>
  <c r="U28" i="1" s="1"/>
  <c r="V28" i="1" s="1"/>
  <c r="W28" i="1" s="1"/>
  <c r="X28" i="1" s="1"/>
  <c r="R29" i="1" s="1"/>
  <c r="S29" i="1" s="1"/>
  <c r="T29" i="1" s="1"/>
  <c r="U29" i="1" s="1"/>
  <c r="V29" i="1" s="1"/>
  <c r="W29" i="1" s="1"/>
  <c r="X29" i="1" s="1"/>
  <c r="Z24" i="1"/>
  <c r="AA24" i="1" s="1"/>
  <c r="AB24" i="1" s="1"/>
  <c r="AC24" i="1" s="1"/>
  <c r="AD24" i="1" s="1"/>
  <c r="AE24" i="1" s="1"/>
  <c r="AF24" i="1" s="1"/>
  <c r="Z25" i="1" s="1"/>
  <c r="AA25" i="1" s="1"/>
  <c r="AB25" i="1" s="1"/>
  <c r="AC25" i="1" s="1"/>
  <c r="AD25" i="1" s="1"/>
  <c r="AE25" i="1" s="1"/>
  <c r="AF25" i="1" s="1"/>
  <c r="Z26" i="1" s="1"/>
  <c r="AA26" i="1" s="1"/>
  <c r="AB26" i="1" s="1"/>
  <c r="AC26" i="1" s="1"/>
  <c r="AD26" i="1" s="1"/>
  <c r="AE26" i="1" s="1"/>
  <c r="AF26" i="1" s="1"/>
  <c r="Z27" i="1" s="1"/>
  <c r="AA27" i="1" s="1"/>
  <c r="AB27" i="1" s="1"/>
  <c r="AC27" i="1" s="1"/>
  <c r="AD27" i="1" s="1"/>
  <c r="AE27" i="1" s="1"/>
  <c r="AF27" i="1" s="1"/>
  <c r="Z28" i="1" s="1"/>
  <c r="AA28" i="1" s="1"/>
  <c r="AB28" i="1" s="1"/>
  <c r="AC28" i="1" s="1"/>
  <c r="AD28" i="1" s="1"/>
  <c r="AE28" i="1" s="1"/>
  <c r="AF28" i="1" s="1"/>
  <c r="Z29" i="1" s="1"/>
  <c r="AA29" i="1" s="1"/>
  <c r="AB29" i="1" s="1"/>
  <c r="AC29" i="1" s="1"/>
  <c r="AD29" i="1" s="1"/>
  <c r="AE29" i="1" s="1"/>
  <c r="AF29" i="1" s="1"/>
  <c r="D5" i="1" a="1"/>
  <c r="D5" i="1" s="1"/>
  <c r="E5" i="1" s="1" a="1"/>
  <c r="E5" i="1" s="1"/>
  <c r="F5" i="1" s="1" a="1"/>
  <c r="F5" i="1" s="1"/>
  <c r="G5" i="1" s="1" a="1"/>
  <c r="G5" i="1" s="1"/>
  <c r="H5" i="1" s="1" a="1"/>
  <c r="H5" i="1" s="1"/>
  <c r="E6" i="1" l="1"/>
  <c r="F6" i="1" s="1"/>
  <c r="G6" i="1" s="1"/>
  <c r="H6" i="1" s="1"/>
  <c r="B7" i="1" s="1"/>
  <c r="C7" i="1" s="1"/>
  <c r="D7" i="1" s="1"/>
  <c r="E7" i="1" s="1"/>
  <c r="F7" i="1" s="1"/>
  <c r="G7" i="1" s="1"/>
  <c r="H7" i="1" s="1"/>
  <c r="B8" i="1" s="1"/>
  <c r="C8" i="1" s="1"/>
  <c r="D8" i="1" s="1"/>
  <c r="E8" i="1" s="1"/>
  <c r="F8" i="1" s="1"/>
  <c r="G8" i="1" s="1"/>
  <c r="H8" i="1" s="1"/>
  <c r="B9" i="1" s="1"/>
  <c r="C9" i="1" s="1"/>
  <c r="D9" i="1" s="1"/>
  <c r="E9" i="1" s="1"/>
  <c r="F9" i="1" s="1"/>
  <c r="G9" i="1" s="1"/>
  <c r="H9" i="1" s="1"/>
  <c r="B10" i="1" s="1"/>
  <c r="C10" i="1" s="1"/>
  <c r="D10" i="1" s="1"/>
  <c r="E10" i="1" s="1"/>
  <c r="F10" i="1" s="1"/>
  <c r="G10" i="1" s="1"/>
  <c r="H10" i="1" s="1"/>
  <c r="B11" i="1" s="1"/>
  <c r="C11" i="1" s="1"/>
  <c r="D11" i="1" s="1"/>
  <c r="E11" i="1" s="1"/>
  <c r="F11" i="1" s="1"/>
  <c r="G11" i="1" s="1"/>
  <c r="H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<sst xmlns="http://schemas.openxmlformats.org/spreadsheetml/2006/main" count="23" uniqueCount="22">
  <si>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YEARLY ACTIVITY SCHEDULER</t>
  </si>
  <si>
    <t>Year:</t>
  </si>
  <si>
    <t>Monday</t>
  </si>
  <si>
    <t>Tuesday</t>
  </si>
  <si>
    <t>Wednesday</t>
  </si>
  <si>
    <t>Thursday</t>
  </si>
  <si>
    <t>Friday</t>
  </si>
  <si>
    <t>Saturday</t>
  </si>
  <si>
    <t>Sunday</t>
  </si>
  <si>
    <t>Mo</t>
  </si>
  <si>
    <t>Tu</t>
  </si>
  <si>
    <t>We</t>
  </si>
  <si>
    <t>Th</t>
  </si>
  <si>
    <t>Fr</t>
  </si>
  <si>
    <t>Sa</t>
  </si>
  <si>
    <t>Su</t>
  </si>
  <si>
    <t>Start  Day:</t>
  </si>
  <si>
    <t>WeekDay</t>
  </si>
  <si>
    <t>WeekDayAbb</t>
  </si>
  <si>
    <t>StartDay</t>
  </si>
  <si>
    <t>StartDayNum</t>
  </si>
  <si>
    <t>DAILY ACTIVITIES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</si>
</sst>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d"/>
    <numFmt numFmtId="166" formatCode="[$-14009]dddd\,\ d\ mmmm\,\ yyyy;@"/>
  </numFmts>
  <fonts count="9" x14ac:knownFonts="1">
    <font>
      <sz val="11"/>
      <color theme="1"/>
      <name val="Calisto MT"/>
      <family val="2"/>
      <scheme val="minor"/>
    </font>
    <font>
      <sz val="28"/>
      <color theme="4" tint="-0.249977111117893"/>
      <name val="Arial Rounded MT Bold"/>
      <family val="2"/>
    </font>
    <font>
      <b/>
      <sz val="11"/>
      <color theme="1"/>
      <name val="Calisto MT"/>
      <family val="2"/>
      <scheme val="minor"/>
    </font>
    <font>
      <sz val="8"/>
      <name val="Calisto MT"/>
      <family val="2"/>
      <scheme val="minor"/>
    </font>
    <font>
      <b/>
      <sz val="14"/>
      <color theme="0"/>
      <name val="Calisto MT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Berlin Sans FB Demi"/>
      <family val="2"/>
    </font>
    <font>
      <sz val="12"/>
      <color theme="1"/>
      <name val="Calisto MT"/>
      <family val="2"/>
      <scheme val="minor"/>
    </font>
    <font>
      <b/>
      <sz val="11"/>
      <color theme="0"/>
      <name val="Calibri"/>
      <family val="2"/>
    </font>
  </fonts>
  <fills count="9">
    <fill>
      <patternFill patternType="none"/>
    </fill>
    <fill>
      <patternFill patternType="gray125"/>
    </fill>
    <fill>
      <gradientFill degree="90">
        <stop position="0">
          <color theme="4" tint="0.80001220740379042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4" tint="0.39997558519241921"/>
        <bgColor indexed="64"/>
      </patternFill>
    </fill>
    <fill>
      <gradientFill degree="90">
        <stop position="0">
          <color theme="3" tint="9.8025452436902985E-2"/>
        </stop>
        <stop position="1">
          <color theme="3" tint="0.25098422193060094"/>
        </stop>
      </gradientFill>
    </fill>
    <fill>
      <gradientFill degree="90">
        <stop position="0">
          <color theme="3" tint="0.25098422193060094"/>
        </stop>
        <stop position="1">
          <color theme="3" tint="9.8025452436902985E-2"/>
        </stop>
      </gradient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3" tint="0.24994659260841701"/>
      </right>
      <top style="thin">
        <color auto="1"/>
      </top>
      <bottom style="thin">
        <color theme="3" tint="0.24994659260841701"/>
      </bottom>
      <diagonal/>
    </border>
    <border>
      <left style="thin">
        <color theme="3" tint="0.24994659260841701"/>
      </left>
      <right style="thin">
        <color theme="3" tint="0.24994659260841701"/>
      </right>
      <top style="thin">
        <color auto="1"/>
      </top>
      <bottom style="thin">
        <color theme="3" tint="0.24994659260841701"/>
      </bottom>
      <diagonal/>
    </border>
    <border>
      <left style="thin">
        <color auto="1"/>
      </left>
      <right style="thin">
        <color theme="3" tint="0.24994659260841701"/>
      </right>
      <top style="thin">
        <color theme="3" tint="0.24994659260841701"/>
      </top>
      <bottom style="thin">
        <color theme="3" tint="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4" fillId="6" borderId="0" xfId="0" applyFont="1" applyFill="1"/>
    <xf numFmtId="165" fontId="7" fillId="0" borderId="2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0" fontId="0" fillId="8" borderId="0" xfId="0" applyFill="1"/>
    <xf numFmtId="0" fontId="0" fillId="0" borderId="6" xfId="0" applyBorder="1"/>
    <xf numFmtId="0" fontId="8" fillId="7" borderId="5" xfId="0" applyFont="1" applyFill="1" applyBorder="1" applyAlignment="1">
      <alignment horizontal="center" vertical="center"/>
    </xf>
    <xf numFmtId="166" fontId="8" fillId="4" borderId="5" xfId="0" applyNumberFormat="1" applyFont="1" applyFill="1" applyBorder="1" applyAlignment="1">
      <alignment horizontal="center" vertical="center"/>
    </xf>
    <xf numFmtId="0" fontId="0" fillId="0" borderId="7" xfId="0" applyBorder="1"/>
    <xf numFmtId="17" fontId="0" fillId="0" borderId="6" xfId="0" applyNumberFormat="1" applyBorder="1"/>
    <xf numFmtId="14" fontId="0" fillId="0" borderId="0" xfId="0" applyNumberFormat="1"/>
    <xf numFmtId="164" fontId="4" fillId="5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37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AC83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AC8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141176</xdr:colOff>
      <xdr:row>0</xdr:row>
      <xdr:rowOff>107158</xdr:rowOff>
    </xdr:from>
    <xdr:to>
      <xdr:col>10</xdr:col>
      <xdr:colOff>292247</xdr:colOff>
      <xdr:row>0</xdr:row>
      <xdr:rowOff>583408</xdr:rowOff>
    </xdr:to>
    <xdr:pic>
      <xdr:nvPicPr>
        <xdr:cNvPr id="3" name="Graphic 2" descr="Clipboard with solid fill">
          <a:extLst>
            <a:ext uri="{FF2B5EF4-FFF2-40B4-BE49-F238E27FC236}">
              <a16:creationId xmlns:a16="http://schemas.microsoft.com/office/drawing/2014/main" id="{625DABFB-D154-1A24-98EF-F9D935D86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20082" y="107158"/>
          <a:ext cx="474549" cy="476250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late">
  <a:themeElements>
    <a:clrScheme name="Slate">
      <a:dk1>
        <a:sysClr val="windowText" lastClr="000000"/>
      </a:dk1>
      <a:lt1>
        <a:sysClr val="window" lastClr="FFFFFF"/>
      </a:lt1>
      <a:dk2>
        <a:srgbClr val="212123"/>
      </a:dk2>
      <a:lt2>
        <a:srgbClr val="DADADA"/>
      </a:lt2>
      <a:accent1>
        <a:srgbClr val="BC451B"/>
      </a:accent1>
      <a:accent2>
        <a:srgbClr val="D3BA68"/>
      </a:accent2>
      <a:accent3>
        <a:srgbClr val="BB8640"/>
      </a:accent3>
      <a:accent4>
        <a:srgbClr val="AD9277"/>
      </a:accent4>
      <a:accent5>
        <a:srgbClr val="A55A43"/>
      </a:accent5>
      <a:accent6>
        <a:srgbClr val="AD9D7B"/>
      </a:accent6>
      <a:hlink>
        <a:srgbClr val="E98052"/>
      </a:hlink>
      <a:folHlink>
        <a:srgbClr val="F4B69B"/>
      </a:folHlink>
    </a:clrScheme>
    <a:fontScheme name="Slate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ate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73EA-A965-48FC-99E7-08F2DB66F9E9}">
  <sheetPr codeName="Sheet1"/>
  <dimension ref="A1:AI34"/>
  <sheetViews>
    <sheetView tabSelected="1" zoomScale="80" zoomScaleNormal="80" workbookViewId="0">
      <selection activeCell="N2" sqref="N2"/>
    </sheetView>
  </sheetViews>
  <sheetFormatPr defaultColWidth="0" defaultRowHeight="14.25" zeroHeight="1" x14ac:dyDescent="0.2"/>
  <cols>
    <col min="1" max="33" width="4.375" customWidth="1"/>
    <col min="34" max="34" width="35.5" customWidth="1"/>
    <col min="35" max="35" width="4.375" customWidth="1"/>
    <col min="36" max="16384" width="4.375" hidden="1"/>
  </cols>
  <sheetData>
    <row r="1" spans="1:35" ht="54.75" customHeight="1" x14ac:dyDescent="0.2">
      <c r="A1" s="2"/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2"/>
    </row>
    <row r="2" spans="1:35" ht="20.25" customHeight="1" x14ac:dyDescent="0.2">
      <c r="A2" s="1"/>
      <c r="B2" s="16" t="s">
        <v>1</v>
      </c>
      <c r="C2" s="17"/>
      <c r="D2" s="18">
        <v>2025</v>
      </c>
      <c r="E2" s="18"/>
      <c r="F2" s="19" t="s">
        <v>16</v>
      </c>
      <c r="G2" s="19"/>
      <c r="H2" s="19"/>
      <c r="I2" s="18" t="s">
        <v>2</v>
      </c>
      <c r="J2" s="18"/>
      <c r="K2" s="18"/>
      <c r="L2" s="18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spans="1:35" ht="23.25" customHeight="1" x14ac:dyDescent="0.25">
      <c r="A4" s="7"/>
      <c r="B4" s="14">
        <f>DATE(ScYear,1,1)</f>
        <v>45658</v>
      </c>
      <c r="C4" s="14"/>
      <c r="D4" s="14"/>
      <c r="E4" s="14"/>
      <c r="F4" s="14"/>
      <c r="G4" s="14"/>
      <c r="H4" s="14"/>
      <c r="I4" s="7"/>
      <c r="J4" s="14">
        <f>DATE(ScYear,2,1)</f>
        <v>45689</v>
      </c>
      <c r="K4" s="14"/>
      <c r="L4" s="14"/>
      <c r="M4" s="14"/>
      <c r="N4" s="14"/>
      <c r="O4" s="14"/>
      <c r="P4" s="14"/>
      <c r="Q4" s="7"/>
      <c r="R4" s="14">
        <f>DATE(ScYear,3,1)</f>
        <v>45717</v>
      </c>
      <c r="S4" s="14"/>
      <c r="T4" s="14"/>
      <c r="U4" s="14"/>
      <c r="V4" s="14"/>
      <c r="W4" s="14"/>
      <c r="X4" s="14"/>
      <c r="Y4" s="7"/>
      <c r="Z4" s="14">
        <f>DATE(ScYear,4,1)</f>
        <v>45748</v>
      </c>
      <c r="AA4" s="14"/>
      <c r="AB4" s="14"/>
      <c r="AC4" s="14"/>
      <c r="AD4" s="14"/>
      <c r="AE4" s="14"/>
      <c r="AF4" s="14"/>
      <c r="AG4" s="7"/>
      <c r="AH4" s="9" t="s">
        <v>21</v>
      </c>
      <c r="AI4" s="7"/>
    </row>
    <row r="5" spans="1:35" ht="18" x14ac:dyDescent="0.25">
      <c r="A5" s="7"/>
      <c r="B5" s="3" t="str">
        <f>INDEX(WeekDayAbb,MATCH(StartDay,WeekDay,0),1)</f>
        <v>Mo</v>
      </c>
      <c r="C5" s="3" t="str" cm="1">
        <f t="array" ref="C5">IF(MATCH(B5,WeekDayAbb,0)=7,Sheet2!$B$1,INDEX(WeekDayAbb,MATCH(Schedule!B5,WeekDayAbb,0)+1,1))</f>
        <v>Tu</v>
      </c>
      <c r="D5" s="3" t="str" cm="1">
        <f t="array" ref="D5">IF(MATCH(C5,WeekDayAbb,0)=7,Sheet2!$B$1,INDEX(WeekDayAbb,MATCH(Schedule!C5,WeekDayAbb,0)+1,1))</f>
        <v>We</v>
      </c>
      <c r="E5" s="3" t="str" cm="1">
        <f t="array" ref="E5">IF(MATCH(D5,WeekDayAbb,0)=7,Sheet2!$B$1,INDEX(WeekDayAbb,MATCH(Schedule!D5,WeekDayAbb,0)+1,1))</f>
        <v>Th</v>
      </c>
      <c r="F5" s="3" t="str" cm="1">
        <f t="array" ref="F5">IF(MATCH(E5,WeekDayAbb,0)=7,Sheet2!$B$1,INDEX(WeekDayAbb,MATCH(Schedule!E5,WeekDayAbb,0)+1,1))</f>
        <v>Fr</v>
      </c>
      <c r="G5" s="3" t="str" cm="1">
        <f t="array" ref="G5">IF(MATCH(F5,WeekDayAbb,0)=7,Sheet2!$B$1,INDEX(WeekDayAbb,MATCH(Schedule!F5,WeekDayAbb,0)+1,1))</f>
        <v>Sa</v>
      </c>
      <c r="H5" s="3" t="str" cm="1">
        <f t="array" ref="H5">IF(MATCH(G5,WeekDayAbb,0)=7,Sheet2!$B$1,INDEX(WeekDayAbb,MATCH(Schedule!G5,WeekDayAbb,0)+1,1))</f>
        <v>Su</v>
      </c>
      <c r="I5" s="7"/>
      <c r="J5" s="3" t="str">
        <f>INDEX(WeekDayAbb,MATCH(StartDay,WeekDay,0),1)</f>
        <v>Mo</v>
      </c>
      <c r="K5" s="3" t="str" cm="1">
        <f t="array" ref="K5">IF(MATCH(J5,WeekDayAbb,0)=7,Sheet2!$B$1,INDEX(WeekDayAbb,MATCH(Schedule!J5,WeekDayAbb,0)+1,1))</f>
        <v>Tu</v>
      </c>
      <c r="L5" s="3" t="str" cm="1">
        <f t="array" ref="L5">IF(MATCH(K5,WeekDayAbb,0)=7,Sheet2!$B$1,INDEX(WeekDayAbb,MATCH(Schedule!K5,WeekDayAbb,0)+1,1))</f>
        <v>We</v>
      </c>
      <c r="M5" s="3" t="str" cm="1">
        <f t="array" ref="M5">IF(MATCH(L5,WeekDayAbb,0)=7,Sheet2!$B$1,INDEX(WeekDayAbb,MATCH(Schedule!L5,WeekDayAbb,0)+1,1))</f>
        <v>Th</v>
      </c>
      <c r="N5" s="3" t="str" cm="1">
        <f t="array" ref="N5">IF(MATCH(M5,WeekDayAbb,0)=7,Sheet2!$B$1,INDEX(WeekDayAbb,MATCH(Schedule!M5,WeekDayAbb,0)+1,1))</f>
        <v>Fr</v>
      </c>
      <c r="O5" s="3" t="str" cm="1">
        <f t="array" ref="O5">IF(MATCH(N5,WeekDayAbb,0)=7,Sheet2!$B$1,INDEX(WeekDayAbb,MATCH(Schedule!N5,WeekDayAbb,0)+1,1))</f>
        <v>Sa</v>
      </c>
      <c r="P5" s="3" t="str" cm="1">
        <f t="array" ref="P5">IF(MATCH(O5,WeekDayAbb,0)=7,Sheet2!$B$1,INDEX(WeekDayAbb,MATCH(Schedule!O5,WeekDayAbb,0)+1,1))</f>
        <v>Su</v>
      </c>
      <c r="Q5" s="7"/>
      <c r="R5" s="3" t="str">
        <f>INDEX(WeekDayAbb,MATCH(StartDay,WeekDay,0),1)</f>
        <v>Mo</v>
      </c>
      <c r="S5" s="3" t="str" cm="1">
        <f t="array" ref="S5">IF(MATCH(R5,WeekDayAbb,0)=7,Sheet2!$B$1,INDEX(WeekDayAbb,MATCH(Schedule!R5,WeekDayAbb,0)+1,1))</f>
        <v>Tu</v>
      </c>
      <c r="T5" s="3" t="str" cm="1">
        <f t="array" ref="T5">IF(MATCH(S5,WeekDayAbb,0)=7,Sheet2!$B$1,INDEX(WeekDayAbb,MATCH(Schedule!S5,WeekDayAbb,0)+1,1))</f>
        <v>We</v>
      </c>
      <c r="U5" s="3" t="str" cm="1">
        <f t="array" ref="U5">IF(MATCH(T5,WeekDayAbb,0)=7,Sheet2!$B$1,INDEX(WeekDayAbb,MATCH(Schedule!T5,WeekDayAbb,0)+1,1))</f>
        <v>Th</v>
      </c>
      <c r="V5" s="3" t="str" cm="1">
        <f t="array" ref="V5">IF(MATCH(U5,WeekDayAbb,0)=7,Sheet2!$B$1,INDEX(WeekDayAbb,MATCH(Schedule!U5,WeekDayAbb,0)+1,1))</f>
        <v>Fr</v>
      </c>
      <c r="W5" s="3" t="str" cm="1">
        <f t="array" ref="W5">IF(MATCH(V5,WeekDayAbb,0)=7,Sheet2!$B$1,INDEX(WeekDayAbb,MATCH(Schedule!V5,WeekDayAbb,0)+1,1))</f>
        <v>Sa</v>
      </c>
      <c r="X5" s="3" t="str" cm="1">
        <f t="array" ref="X5">IF(MATCH(W5,WeekDayAbb,0)=7,Sheet2!$B$1,INDEX(WeekDayAbb,MATCH(Schedule!W5,WeekDayAbb,0)+1,1))</f>
        <v>Su</v>
      </c>
      <c r="Y5" s="7"/>
      <c r="Z5" s="3" t="str">
        <f>INDEX(WeekDayAbb,MATCH(StartDay,WeekDay,0),1)</f>
        <v>Mo</v>
      </c>
      <c r="AA5" s="3" t="str" cm="1">
        <f t="array" ref="AA5">IF(MATCH(Z5,WeekDayAbb,0)=7,Sheet2!$B$1,INDEX(WeekDayAbb,MATCH(Schedule!Z5,WeekDayAbb,0)+1,1))</f>
        <v>Tu</v>
      </c>
      <c r="AB5" s="3" t="str" cm="1">
        <f t="array" ref="AB5">IF(MATCH(AA5,WeekDayAbb,0)=7,Sheet2!$B$1,INDEX(WeekDayAbb,MATCH(Schedule!AA5,WeekDayAbb,0)+1,1))</f>
        <v>We</v>
      </c>
      <c r="AC5" s="3" t="str" cm="1">
        <f t="array" ref="AC5">IF(MATCH(AB5,WeekDayAbb,0)=7,Sheet2!$B$1,INDEX(WeekDayAbb,MATCH(Schedule!AB5,WeekDayAbb,0)+1,1))</f>
        <v>Th</v>
      </c>
      <c r="AD5" s="3" t="str" cm="1">
        <f t="array" ref="AD5">IF(MATCH(AC5,WeekDayAbb,0)=7,Sheet2!$B$1,INDEX(WeekDayAbb,MATCH(Schedule!AC5,WeekDayAbb,0)+1,1))</f>
        <v>Fr</v>
      </c>
      <c r="AE5" s="3" t="str" cm="1">
        <f t="array" ref="AE5">IF(MATCH(AD5,WeekDayAbb,0)=7,Sheet2!$B$1,INDEX(WeekDayAbb,MATCH(Schedule!AD5,WeekDayAbb,0)+1,1))</f>
        <v>Sa</v>
      </c>
      <c r="AF5" s="3" t="str" cm="1">
        <f t="array" ref="AF5">IF(MATCH(AE5,WeekDayAbb,0)=7,Sheet2!$B$1,INDEX(WeekDayAbb,MATCH(Schedule!AE5,WeekDayAbb,0)+1,1))</f>
        <v>Su</v>
      </c>
      <c r="AG5" s="7"/>
      <c r="AH5" s="10">
        <v>45747</v>
      </c>
      <c r="AI5" s="7"/>
    </row>
    <row r="6" spans="1:35" ht="15.75" x14ac:dyDescent="0.2">
      <c r="A6" s="7"/>
      <c r="B6" s="4" t="str">
        <f>IF(WEEKDAY(B4,2)=StartDayNum,B4,"")</f>
        <v/>
      </c>
      <c r="C6" s="5" t="str">
        <f>IF(B6&lt;&gt;"",B6+1,IF(WEEKDAY(B4,2)=MOD(StartDayNum,7)+1,B4,""))</f>
        <v/>
      </c>
      <c r="D6" s="5">
        <f>IF(C6&lt;&gt;"",C6+1,IF(WEEKDAY(B4,2)=MOD(StartDayNum+1,7)+1,B4,""))</f>
        <v>45658</v>
      </c>
      <c r="E6" s="5">
        <f>IF(D6&lt;&gt;"",D6+1,IF(WEEKDAY(B4,2)=MOD(StartDayNum+2,7)+1,B4,""))</f>
        <v>45659</v>
      </c>
      <c r="F6" s="5">
        <f>IF(E6&lt;&gt;"",E6+1,IF(WEEKDAY(B4,2)=MOD(StartDayNum+3,7)+1,B4,""))</f>
        <v>45660</v>
      </c>
      <c r="G6" s="5">
        <f>IF(F6&lt;&gt;"",F6+1,IF(WEEKDAY(B4,2)=MOD(StartDayNum+4,7)+1,B4,""))</f>
        <v>45661</v>
      </c>
      <c r="H6" s="5">
        <f>IF(G6&lt;&gt;"",G6+1,IF(WEEKDAY(B4,2)=MOD(StartDayNum+5,7)+1,B4,""))</f>
        <v>45662</v>
      </c>
      <c r="I6" s="7"/>
      <c r="J6" s="4" t="str">
        <f>IF(WEEKDAY(J4,2)=StartDayNum,J4,"")</f>
        <v/>
      </c>
      <c r="K6" s="5" t="str">
        <f>IF(J6&lt;&gt;"",J6+1,IF(WEEKDAY(J4,2)=MOD(StartDayNum,7)+1,J4,""))</f>
        <v/>
      </c>
      <c r="L6" s="5" t="str">
        <f>IF(K6&lt;&gt;"",K6+1,IF(WEEKDAY(J4,2)=MOD(StartDayNum+1,7)+1,J4,""))</f>
        <v/>
      </c>
      <c r="M6" s="5" t="str">
        <f>IF(L6&lt;&gt;"",L6+1,IF(WEEKDAY(J4,2)=MOD(StartDayNum+2,7)+1,J4,""))</f>
        <v/>
      </c>
      <c r="N6" s="5" t="str">
        <f>IF(M6&lt;&gt;"",M6+1,IF(WEEKDAY(J4,2)=MOD(StartDayNum+3,7)+1,J4,""))</f>
        <v/>
      </c>
      <c r="O6" s="5">
        <f>IF(N6&lt;&gt;"",N6+1,IF(WEEKDAY(J4,2)=MOD(StartDayNum+4,7)+1,J4,""))</f>
        <v>45689</v>
      </c>
      <c r="P6" s="5">
        <f>IF(O6&lt;&gt;"",O6+1,IF(WEEKDAY(J4,2)=MOD(StartDayNum+5,7)+1,J4,""))</f>
        <v>45690</v>
      </c>
      <c r="Q6" s="7"/>
      <c r="R6" s="4" t="str">
        <f>IF(WEEKDAY(R4,2)=StartDayNum,R4,"")</f>
        <v/>
      </c>
      <c r="S6" s="5" t="str">
        <f>IF(R6&lt;&gt;"",R6+1,IF(WEEKDAY(R4,2)=MOD(StartDayNum,7)+1,R4,""))</f>
        <v/>
      </c>
      <c r="T6" s="5" t="str">
        <f>IF(S6&lt;&gt;"",S6+1,IF(WEEKDAY(R4,2)=MOD(StartDayNum+1,7)+1,R4,""))</f>
        <v/>
      </c>
      <c r="U6" s="5" t="str">
        <f>IF(T6&lt;&gt;"",T6+1,IF(WEEKDAY(R4,2)=MOD(StartDayNum+2,7)+1,R4,""))</f>
        <v/>
      </c>
      <c r="V6" s="5" t="str">
        <f>IF(U6&lt;&gt;"",U6+1,IF(WEEKDAY(R4,2)=MOD(StartDayNum+3,7)+1,R4,""))</f>
        <v/>
      </c>
      <c r="W6" s="5">
        <f>IF(V6&lt;&gt;"",V6+1,IF(WEEKDAY(R4,2)=MOD(StartDayNum+4,7)+1,R4,""))</f>
        <v>45717</v>
      </c>
      <c r="X6" s="5">
        <f>IF(W6&lt;&gt;"",W6+1,IF(WEEKDAY(R4,2)=MOD(StartDayNum+5,7)+1,R4,""))</f>
        <v>45718</v>
      </c>
      <c r="Y6" s="7"/>
      <c r="Z6" s="4" t="str">
        <f>IF(WEEKDAY(Z4,2)=StartDayNum,Z4,"")</f>
        <v/>
      </c>
      <c r="AA6" s="5">
        <f>IF(Z6&lt;&gt;"",Z6+1,IF(WEEKDAY(Z4,2)=MOD(StartDayNum,7)+1,Z4,""))</f>
        <v>45748</v>
      </c>
      <c r="AB6" s="5">
        <f>IF(AA6&lt;&gt;"",AA6+1,IF(WEEKDAY(Z4,2)=MOD(StartDayNum+1,7)+1,Z4,""))</f>
        <v>45749</v>
      </c>
      <c r="AC6" s="5">
        <f>IF(AB6&lt;&gt;"",AB6+1,IF(WEEKDAY(Z4,2)=MOD(StartDayNum+2,7)+1,Z4,""))</f>
        <v>45750</v>
      </c>
      <c r="AD6" s="5">
        <f>IF(AC6&lt;&gt;"",AC6+1,IF(WEEKDAY(Z4,2)=MOD(StartDayNum+3,7)+1,Z4,""))</f>
        <v>45751</v>
      </c>
      <c r="AE6" s="5">
        <f>IF(AD6&lt;&gt;"",AD6+1,IF(WEEKDAY(Z4,2)=MOD(StartDayNum+4,7)+1,Z4,""))</f>
        <v>45752</v>
      </c>
      <c r="AF6" s="5">
        <f>IF(AE6&lt;&gt;"",AE6+1,IF(WEEKDAY(Z4,2)=MOD(StartDayNum+5,7)+1,Z4,""))</f>
        <v>45753</v>
      </c>
      <c r="AG6" s="7"/>
      <c r="AH6" s="8"/>
      <c r="AI6" s="7"/>
    </row>
    <row r="7" spans="1:35" ht="15.75" x14ac:dyDescent="0.2">
      <c r="A7" s="7"/>
      <c r="B7" s="6">
        <f>IF(H6="","",IF(MONTH(H6)&lt;&gt;MONTH(H6+1),"",H6+1))</f>
        <v>45663</v>
      </c>
      <c r="C7" s="6">
        <f>IF(B7="","",IF(MONTH(B7)&lt;&gt;MONTH(B7+1),"",B7+1))</f>
        <v>45664</v>
      </c>
      <c r="D7" s="6">
        <f t="shared" ref="D7:H7" si="0">IF(C7="","",IF(MONTH(C7)&lt;&gt;MONTH(C7+1),"",C7+1))</f>
        <v>45665</v>
      </c>
      <c r="E7" s="6">
        <f t="shared" si="0"/>
        <v>45666</v>
      </c>
      <c r="F7" s="6">
        <f t="shared" si="0"/>
        <v>45667</v>
      </c>
      <c r="G7" s="6">
        <f t="shared" si="0"/>
        <v>45668</v>
      </c>
      <c r="H7" s="6">
        <f t="shared" si="0"/>
        <v>45669</v>
      </c>
      <c r="I7" s="7"/>
      <c r="J7" s="6">
        <f>IF(P6="","",IF(MONTH(P6)&lt;&gt;MONTH(P6+1),"",P6+1))</f>
        <v>45691</v>
      </c>
      <c r="K7" s="6">
        <f>IF(J7="","",IF(MONTH(J7)&lt;&gt;MONTH(J7+1),"",J7+1))</f>
        <v>45692</v>
      </c>
      <c r="L7" s="6">
        <f t="shared" ref="L7:L11" si="1">IF(K7="","",IF(MONTH(K7)&lt;&gt;MONTH(K7+1),"",K7+1))</f>
        <v>45693</v>
      </c>
      <c r="M7" s="6">
        <f t="shared" ref="M7:M11" si="2">IF(L7="","",IF(MONTH(L7)&lt;&gt;MONTH(L7+1),"",L7+1))</f>
        <v>45694</v>
      </c>
      <c r="N7" s="6">
        <f t="shared" ref="N7:N11" si="3">IF(M7="","",IF(MONTH(M7)&lt;&gt;MONTH(M7+1),"",M7+1))</f>
        <v>45695</v>
      </c>
      <c r="O7" s="6">
        <f t="shared" ref="O7:O11" si="4">IF(N7="","",IF(MONTH(N7)&lt;&gt;MONTH(N7+1),"",N7+1))</f>
        <v>45696</v>
      </c>
      <c r="P7" s="6">
        <f t="shared" ref="P7:P11" si="5">IF(O7="","",IF(MONTH(O7)&lt;&gt;MONTH(O7+1),"",O7+1))</f>
        <v>45697</v>
      </c>
      <c r="Q7" s="7"/>
      <c r="R7" s="6">
        <f>IF(X6="","",IF(MONTH(X6)&lt;&gt;MONTH(X6+1),"",X6+1))</f>
        <v>45719</v>
      </c>
      <c r="S7" s="6">
        <f>IF(R7="","",IF(MONTH(R7)&lt;&gt;MONTH(R7+1),"",R7+1))</f>
        <v>45720</v>
      </c>
      <c r="T7" s="6">
        <f t="shared" ref="T7:T11" si="6">IF(S7="","",IF(MONTH(S7)&lt;&gt;MONTH(S7+1),"",S7+1))</f>
        <v>45721</v>
      </c>
      <c r="U7" s="6">
        <f t="shared" ref="U7:U11" si="7">IF(T7="","",IF(MONTH(T7)&lt;&gt;MONTH(T7+1),"",T7+1))</f>
        <v>45722</v>
      </c>
      <c r="V7" s="6">
        <f t="shared" ref="V7:V11" si="8">IF(U7="","",IF(MONTH(U7)&lt;&gt;MONTH(U7+1),"",U7+1))</f>
        <v>45723</v>
      </c>
      <c r="W7" s="6">
        <f t="shared" ref="W7:W11" si="9">IF(V7="","",IF(MONTH(V7)&lt;&gt;MONTH(V7+1),"",V7+1))</f>
        <v>45724</v>
      </c>
      <c r="X7" s="6">
        <f t="shared" ref="X7:X11" si="10">IF(W7="","",IF(MONTH(W7)&lt;&gt;MONTH(W7+1),"",W7+1))</f>
        <v>45725</v>
      </c>
      <c r="Y7" s="7"/>
      <c r="Z7" s="6">
        <f>IF(AF6="","",IF(MONTH(AF6)&lt;&gt;MONTH(AF6+1),"",AF6+1))</f>
        <v>45754</v>
      </c>
      <c r="AA7" s="6">
        <f>IF(Z7="","",IF(MONTH(Z7)&lt;&gt;MONTH(Z7+1),"",Z7+1))</f>
        <v>45755</v>
      </c>
      <c r="AB7" s="6">
        <f t="shared" ref="AB7:AB11" si="11">IF(AA7="","",IF(MONTH(AA7)&lt;&gt;MONTH(AA7+1),"",AA7+1))</f>
        <v>45756</v>
      </c>
      <c r="AC7" s="6">
        <f t="shared" ref="AC7:AC11" si="12">IF(AB7="","",IF(MONTH(AB7)&lt;&gt;MONTH(AB7+1),"",AB7+1))</f>
        <v>45757</v>
      </c>
      <c r="AD7" s="6">
        <f t="shared" ref="AD7:AD11" si="13">IF(AC7="","",IF(MONTH(AC7)&lt;&gt;MONTH(AC7+1),"",AC7+1))</f>
        <v>45758</v>
      </c>
      <c r="AE7" s="6">
        <f t="shared" ref="AE7:AE11" si="14">IF(AD7="","",IF(MONTH(AD7)&lt;&gt;MONTH(AD7+1),"",AD7+1))</f>
        <v>45759</v>
      </c>
      <c r="AF7" s="6">
        <f t="shared" ref="AF7:AF11" si="15">IF(AE7="","",IF(MONTH(AE7)&lt;&gt;MONTH(AE7+1),"",AE7+1))</f>
        <v>45760</v>
      </c>
      <c r="AG7" s="7"/>
      <c r="AH7" s="8"/>
      <c r="AI7" s="7"/>
    </row>
    <row r="8" spans="1:35" ht="15.75" x14ac:dyDescent="0.2">
      <c r="A8" s="7"/>
      <c r="B8" s="6">
        <f t="shared" ref="B8:B11" si="16">IF(H7="","",IF(MONTH(H7)&lt;&gt;MONTH(H7+1),"",H7+1))</f>
        <v>45670</v>
      </c>
      <c r="C8" s="6">
        <f t="shared" ref="C8:H8" si="17">IF(B8="","",IF(MONTH(B8)&lt;&gt;MONTH(B8+1),"",B8+1))</f>
        <v>45671</v>
      </c>
      <c r="D8" s="6">
        <f t="shared" si="17"/>
        <v>45672</v>
      </c>
      <c r="E8" s="6">
        <f t="shared" si="17"/>
        <v>45673</v>
      </c>
      <c r="F8" s="6">
        <f t="shared" si="17"/>
        <v>45674</v>
      </c>
      <c r="G8" s="6">
        <f t="shared" si="17"/>
        <v>45675</v>
      </c>
      <c r="H8" s="6">
        <f t="shared" si="17"/>
        <v>45676</v>
      </c>
      <c r="I8" s="7"/>
      <c r="J8" s="6">
        <f t="shared" ref="J8:J11" si="18">IF(P7="","",IF(MONTH(P7)&lt;&gt;MONTH(P7+1),"",P7+1))</f>
        <v>45698</v>
      </c>
      <c r="K8" s="6">
        <f t="shared" ref="K8:K11" si="19">IF(J8="","",IF(MONTH(J8)&lt;&gt;MONTH(J8+1),"",J8+1))</f>
        <v>45699</v>
      </c>
      <c r="L8" s="6">
        <f t="shared" si="1"/>
        <v>45700</v>
      </c>
      <c r="M8" s="6">
        <f t="shared" si="2"/>
        <v>45701</v>
      </c>
      <c r="N8" s="6">
        <f t="shared" si="3"/>
        <v>45702</v>
      </c>
      <c r="O8" s="6">
        <f t="shared" si="4"/>
        <v>45703</v>
      </c>
      <c r="P8" s="6">
        <f t="shared" si="5"/>
        <v>45704</v>
      </c>
      <c r="Q8" s="7"/>
      <c r="R8" s="6">
        <f t="shared" ref="R8:R11" si="20">IF(X7="","",IF(MONTH(X7)&lt;&gt;MONTH(X7+1),"",X7+1))</f>
        <v>45726</v>
      </c>
      <c r="S8" s="6">
        <f t="shared" ref="S8:S11" si="21">IF(R8="","",IF(MONTH(R8)&lt;&gt;MONTH(R8+1),"",R8+1))</f>
        <v>45727</v>
      </c>
      <c r="T8" s="6">
        <f t="shared" si="6"/>
        <v>45728</v>
      </c>
      <c r="U8" s="6">
        <f t="shared" si="7"/>
        <v>45729</v>
      </c>
      <c r="V8" s="6">
        <f t="shared" si="8"/>
        <v>45730</v>
      </c>
      <c r="W8" s="6">
        <f t="shared" si="9"/>
        <v>45731</v>
      </c>
      <c r="X8" s="6">
        <f t="shared" si="10"/>
        <v>45732</v>
      </c>
      <c r="Y8" s="7"/>
      <c r="Z8" s="6">
        <f t="shared" ref="Z8:Z11" si="22">IF(AF7="","",IF(MONTH(AF7)&lt;&gt;MONTH(AF7+1),"",AF7+1))</f>
        <v>45761</v>
      </c>
      <c r="AA8" s="6">
        <f t="shared" ref="AA8:AA11" si="23">IF(Z8="","",IF(MONTH(Z8)&lt;&gt;MONTH(Z8+1),"",Z8+1))</f>
        <v>45762</v>
      </c>
      <c r="AB8" s="6">
        <f t="shared" si="11"/>
        <v>45763</v>
      </c>
      <c r="AC8" s="6">
        <f t="shared" si="12"/>
        <v>45764</v>
      </c>
      <c r="AD8" s="6">
        <f t="shared" si="13"/>
        <v>45765</v>
      </c>
      <c r="AE8" s="6">
        <f t="shared" si="14"/>
        <v>45766</v>
      </c>
      <c r="AF8" s="6">
        <f t="shared" si="15"/>
        <v>45767</v>
      </c>
      <c r="AG8" s="7"/>
      <c r="AH8" s="8"/>
      <c r="AI8" s="7"/>
    </row>
    <row r="9" spans="1:35" ht="15.75" x14ac:dyDescent="0.2">
      <c r="A9" s="7"/>
      <c r="B9" s="6">
        <f t="shared" si="16"/>
        <v>45677</v>
      </c>
      <c r="C9" s="6">
        <f t="shared" ref="C9:H9" si="24">IF(B9="","",IF(MONTH(B9)&lt;&gt;MONTH(B9+1),"",B9+1))</f>
        <v>45678</v>
      </c>
      <c r="D9" s="6">
        <f t="shared" si="24"/>
        <v>45679</v>
      </c>
      <c r="E9" s="6">
        <f t="shared" si="24"/>
        <v>45680</v>
      </c>
      <c r="F9" s="6">
        <f t="shared" si="24"/>
        <v>45681</v>
      </c>
      <c r="G9" s="6">
        <f t="shared" si="24"/>
        <v>45682</v>
      </c>
      <c r="H9" s="6">
        <f t="shared" si="24"/>
        <v>45683</v>
      </c>
      <c r="I9" s="7"/>
      <c r="J9" s="6">
        <f t="shared" si="18"/>
        <v>45705</v>
      </c>
      <c r="K9" s="6">
        <f t="shared" si="19"/>
        <v>45706</v>
      </c>
      <c r="L9" s="6">
        <f t="shared" si="1"/>
        <v>45707</v>
      </c>
      <c r="M9" s="6">
        <f t="shared" si="2"/>
        <v>45708</v>
      </c>
      <c r="N9" s="6">
        <f t="shared" si="3"/>
        <v>45709</v>
      </c>
      <c r="O9" s="6">
        <f t="shared" si="4"/>
        <v>45710</v>
      </c>
      <c r="P9" s="6">
        <f t="shared" si="5"/>
        <v>45711</v>
      </c>
      <c r="Q9" s="7"/>
      <c r="R9" s="6">
        <f t="shared" si="20"/>
        <v>45733</v>
      </c>
      <c r="S9" s="6">
        <f t="shared" si="21"/>
        <v>45734</v>
      </c>
      <c r="T9" s="6">
        <f t="shared" si="6"/>
        <v>45735</v>
      </c>
      <c r="U9" s="6">
        <f t="shared" si="7"/>
        <v>45736</v>
      </c>
      <c r="V9" s="6">
        <f t="shared" si="8"/>
        <v>45737</v>
      </c>
      <c r="W9" s="6">
        <f t="shared" si="9"/>
        <v>45738</v>
      </c>
      <c r="X9" s="6">
        <f t="shared" si="10"/>
        <v>45739</v>
      </c>
      <c r="Y9" s="7"/>
      <c r="Z9" s="6">
        <f t="shared" si="22"/>
        <v>45768</v>
      </c>
      <c r="AA9" s="6">
        <f t="shared" si="23"/>
        <v>45769</v>
      </c>
      <c r="AB9" s="6">
        <f t="shared" si="11"/>
        <v>45770</v>
      </c>
      <c r="AC9" s="6">
        <f t="shared" si="12"/>
        <v>45771</v>
      </c>
      <c r="AD9" s="6">
        <f t="shared" si="13"/>
        <v>45772</v>
      </c>
      <c r="AE9" s="6">
        <f t="shared" si="14"/>
        <v>45773</v>
      </c>
      <c r="AF9" s="6">
        <f t="shared" si="15"/>
        <v>45774</v>
      </c>
      <c r="AG9" s="7"/>
      <c r="AH9" s="8"/>
      <c r="AI9" s="7"/>
    </row>
    <row r="10" spans="1:35" ht="15.75" x14ac:dyDescent="0.2">
      <c r="A10" s="7"/>
      <c r="B10" s="6">
        <f t="shared" si="16"/>
        <v>45684</v>
      </c>
      <c r="C10" s="6">
        <f t="shared" ref="C10:H10" si="25">IF(B10="","",IF(MONTH(B10)&lt;&gt;MONTH(B10+1),"",B10+1))</f>
        <v>45685</v>
      </c>
      <c r="D10" s="6">
        <f t="shared" si="25"/>
        <v>45686</v>
      </c>
      <c r="E10" s="6">
        <f t="shared" si="25"/>
        <v>45687</v>
      </c>
      <c r="F10" s="6">
        <f t="shared" si="25"/>
        <v>45688</v>
      </c>
      <c r="G10" s="6" t="str">
        <f t="shared" si="25"/>
        <v/>
      </c>
      <c r="H10" s="6" t="str">
        <f t="shared" si="25"/>
        <v/>
      </c>
      <c r="I10" s="7"/>
      <c r="J10" s="6">
        <f t="shared" si="18"/>
        <v>45712</v>
      </c>
      <c r="K10" s="6">
        <f t="shared" si="19"/>
        <v>45713</v>
      </c>
      <c r="L10" s="6">
        <f t="shared" si="1"/>
        <v>45714</v>
      </c>
      <c r="M10" s="6">
        <f t="shared" si="2"/>
        <v>45715</v>
      </c>
      <c r="N10" s="6">
        <f t="shared" si="3"/>
        <v>45716</v>
      </c>
      <c r="O10" s="6" t="str">
        <f t="shared" si="4"/>
        <v/>
      </c>
      <c r="P10" s="6" t="str">
        <f t="shared" si="5"/>
        <v/>
      </c>
      <c r="Q10" s="7"/>
      <c r="R10" s="6">
        <f t="shared" si="20"/>
        <v>45740</v>
      </c>
      <c r="S10" s="6">
        <f t="shared" si="21"/>
        <v>45741</v>
      </c>
      <c r="T10" s="6">
        <f t="shared" si="6"/>
        <v>45742</v>
      </c>
      <c r="U10" s="6">
        <f t="shared" si="7"/>
        <v>45743</v>
      </c>
      <c r="V10" s="6">
        <f t="shared" si="8"/>
        <v>45744</v>
      </c>
      <c r="W10" s="6">
        <f t="shared" si="9"/>
        <v>45745</v>
      </c>
      <c r="X10" s="6">
        <f t="shared" si="10"/>
        <v>45746</v>
      </c>
      <c r="Y10" s="7"/>
      <c r="Z10" s="6">
        <f t="shared" si="22"/>
        <v>45775</v>
      </c>
      <c r="AA10" s="6">
        <f t="shared" si="23"/>
        <v>45776</v>
      </c>
      <c r="AB10" s="6">
        <f t="shared" si="11"/>
        <v>45777</v>
      </c>
      <c r="AC10" s="6" t="str">
        <f t="shared" si="12"/>
        <v/>
      </c>
      <c r="AD10" s="6" t="str">
        <f t="shared" si="13"/>
        <v/>
      </c>
      <c r="AE10" s="6" t="str">
        <f t="shared" si="14"/>
        <v/>
      </c>
      <c r="AF10" s="6" t="str">
        <f t="shared" si="15"/>
        <v/>
      </c>
      <c r="AG10" s="7"/>
      <c r="AH10" s="8"/>
      <c r="AI10" s="7"/>
    </row>
    <row r="11" spans="1:35" ht="15.75" x14ac:dyDescent="0.2">
      <c r="A11" s="7"/>
      <c r="B11" s="6" t="str">
        <f t="shared" si="16"/>
        <v/>
      </c>
      <c r="C11" s="6" t="str">
        <f t="shared" ref="C11:H11" si="26">IF(B11="","",IF(MONTH(B11)&lt;&gt;MONTH(B11+1),"",B11+1))</f>
        <v/>
      </c>
      <c r="D11" s="6" t="str">
        <f t="shared" si="26"/>
        <v/>
      </c>
      <c r="E11" s="6" t="str">
        <f t="shared" si="26"/>
        <v/>
      </c>
      <c r="F11" s="6" t="str">
        <f t="shared" si="26"/>
        <v/>
      </c>
      <c r="G11" s="6" t="str">
        <f t="shared" si="26"/>
        <v/>
      </c>
      <c r="H11" s="6" t="str">
        <f t="shared" si="26"/>
        <v/>
      </c>
      <c r="I11" s="7"/>
      <c r="J11" s="6" t="str">
        <f t="shared" si="18"/>
        <v/>
      </c>
      <c r="K11" s="6" t="str">
        <f t="shared" si="19"/>
        <v/>
      </c>
      <c r="L11" s="6" t="str">
        <f t="shared" si="1"/>
        <v/>
      </c>
      <c r="M11" s="6" t="str">
        <f t="shared" si="2"/>
        <v/>
      </c>
      <c r="N11" s="6" t="str">
        <f t="shared" si="3"/>
        <v/>
      </c>
      <c r="O11" s="6" t="str">
        <f t="shared" si="4"/>
        <v/>
      </c>
      <c r="P11" s="6" t="str">
        <f t="shared" si="5"/>
        <v/>
      </c>
      <c r="Q11" s="7"/>
      <c r="R11" s="6">
        <f t="shared" si="20"/>
        <v>45747</v>
      </c>
      <c r="S11" s="6" t="str">
        <f t="shared" si="21"/>
        <v/>
      </c>
      <c r="T11" s="6" t="str">
        <f t="shared" si="6"/>
        <v/>
      </c>
      <c r="U11" s="6" t="str">
        <f t="shared" si="7"/>
        <v/>
      </c>
      <c r="V11" s="6" t="str">
        <f t="shared" si="8"/>
        <v/>
      </c>
      <c r="W11" s="6" t="str">
        <f t="shared" si="9"/>
        <v/>
      </c>
      <c r="X11" s="6" t="str">
        <f t="shared" si="10"/>
        <v/>
      </c>
      <c r="Y11" s="7"/>
      <c r="Z11" s="6" t="str">
        <f t="shared" si="22"/>
        <v/>
      </c>
      <c r="AA11" s="6" t="str">
        <f t="shared" si="23"/>
        <v/>
      </c>
      <c r="AB11" s="6" t="str">
        <f t="shared" si="11"/>
        <v/>
      </c>
      <c r="AC11" s="6" t="str">
        <f t="shared" si="12"/>
        <v/>
      </c>
      <c r="AD11" s="6" t="str">
        <f t="shared" si="13"/>
        <v/>
      </c>
      <c r="AE11" s="6" t="str">
        <f t="shared" si="14"/>
        <v/>
      </c>
      <c r="AF11" s="6" t="str">
        <f t="shared" si="15"/>
        <v/>
      </c>
      <c r="AG11" s="7"/>
      <c r="AH11" s="12"/>
      <c r="AI11" s="7"/>
    </row>
    <row r="12" spans="1:35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8"/>
      <c r="AI12" s="7"/>
    </row>
    <row r="13" spans="1:35" ht="18" x14ac:dyDescent="0.25">
      <c r="A13" s="7"/>
      <c r="B13" s="14">
        <f>DATE(ScYear,5,1)</f>
        <v>45778</v>
      </c>
      <c r="C13" s="14"/>
      <c r="D13" s="14"/>
      <c r="E13" s="14"/>
      <c r="F13" s="14"/>
      <c r="G13" s="14"/>
      <c r="H13" s="14"/>
      <c r="I13" s="7"/>
      <c r="J13" s="14">
        <f>DATE(ScYear,6,1)</f>
        <v>45809</v>
      </c>
      <c r="K13" s="14"/>
      <c r="L13" s="14"/>
      <c r="M13" s="14"/>
      <c r="N13" s="14"/>
      <c r="O13" s="14"/>
      <c r="P13" s="14"/>
      <c r="Q13" s="7"/>
      <c r="R13" s="14">
        <f>DATE(ScYear,7,1)</f>
        <v>45839</v>
      </c>
      <c r="S13" s="14"/>
      <c r="T13" s="14"/>
      <c r="U13" s="14"/>
      <c r="V13" s="14"/>
      <c r="W13" s="14"/>
      <c r="X13" s="14"/>
      <c r="Y13" s="7"/>
      <c r="Z13" s="14">
        <f>DATE(ScYear,8,1)</f>
        <v>45870</v>
      </c>
      <c r="AA13" s="14"/>
      <c r="AB13" s="14"/>
      <c r="AC13" s="14"/>
      <c r="AD13" s="14"/>
      <c r="AE13" s="14"/>
      <c r="AF13" s="14"/>
      <c r="AG13" s="7"/>
      <c r="AH13" s="8"/>
      <c r="AI13" s="7"/>
    </row>
    <row r="14" spans="1:35" ht="18" x14ac:dyDescent="0.25">
      <c r="A14" s="7"/>
      <c r="B14" s="3" t="str">
        <f>INDEX(WeekDayAbb,MATCH(StartDay,WeekDay,0),1)</f>
        <v>Mo</v>
      </c>
      <c r="C14" s="3" t="str" cm="1">
        <f t="array" ref="C14">IF(MATCH(B14,WeekDayAbb,0)=7,Sheet2!$B$1,INDEX(WeekDayAbb,MATCH(Schedule!B14,WeekDayAbb,0)+1,1))</f>
        <v>Tu</v>
      </c>
      <c r="D14" s="3" t="str" cm="1">
        <f t="array" ref="D14">IF(MATCH(C14,WeekDayAbb,0)=7,Sheet2!$B$1,INDEX(WeekDayAbb,MATCH(Schedule!C14,WeekDayAbb,0)+1,1))</f>
        <v>We</v>
      </c>
      <c r="E14" s="3" t="str" cm="1">
        <f t="array" ref="E14">IF(MATCH(D14,WeekDayAbb,0)=7,Sheet2!$B$1,INDEX(WeekDayAbb,MATCH(Schedule!D14,WeekDayAbb,0)+1,1))</f>
        <v>Th</v>
      </c>
      <c r="F14" s="3" t="str" cm="1">
        <f t="array" ref="F14">IF(MATCH(E14,WeekDayAbb,0)=7,Sheet2!$B$1,INDEX(WeekDayAbb,MATCH(Schedule!E14,WeekDayAbb,0)+1,1))</f>
        <v>Fr</v>
      </c>
      <c r="G14" s="3" t="str" cm="1">
        <f t="array" ref="G14">IF(MATCH(F14,WeekDayAbb,0)=7,Sheet2!$B$1,INDEX(WeekDayAbb,MATCH(Schedule!F14,WeekDayAbb,0)+1,1))</f>
        <v>Sa</v>
      </c>
      <c r="H14" s="3" t="str" cm="1">
        <f t="array" ref="H14">IF(MATCH(G14,WeekDayAbb,0)=7,Sheet2!$B$1,INDEX(WeekDayAbb,MATCH(Schedule!G14,WeekDayAbb,0)+1,1))</f>
        <v>Su</v>
      </c>
      <c r="I14" s="7"/>
      <c r="J14" s="3" t="str">
        <f>INDEX(WeekDayAbb,MATCH(StartDay,WeekDay,0),1)</f>
        <v>Mo</v>
      </c>
      <c r="K14" s="3" t="str" cm="1">
        <f t="array" ref="K14">IF(MATCH(J14,WeekDayAbb,0)=7,Sheet2!$B$1,INDEX(WeekDayAbb,MATCH(Schedule!J14,WeekDayAbb,0)+1,1))</f>
        <v>Tu</v>
      </c>
      <c r="L14" s="3" t="str" cm="1">
        <f t="array" ref="L14">IF(MATCH(K14,WeekDayAbb,0)=7,Sheet2!$B$1,INDEX(WeekDayAbb,MATCH(Schedule!K14,WeekDayAbb,0)+1,1))</f>
        <v>We</v>
      </c>
      <c r="M14" s="3" t="str" cm="1">
        <f t="array" ref="M14">IF(MATCH(L14,WeekDayAbb,0)=7,Sheet2!$B$1,INDEX(WeekDayAbb,MATCH(Schedule!L14,WeekDayAbb,0)+1,1))</f>
        <v>Th</v>
      </c>
      <c r="N14" s="3" t="str" cm="1">
        <f t="array" ref="N14">IF(MATCH(M14,WeekDayAbb,0)=7,Sheet2!$B$1,INDEX(WeekDayAbb,MATCH(Schedule!M14,WeekDayAbb,0)+1,1))</f>
        <v>Fr</v>
      </c>
      <c r="O14" s="3" t="str" cm="1">
        <f t="array" ref="O14">IF(MATCH(N14,WeekDayAbb,0)=7,Sheet2!$B$1,INDEX(WeekDayAbb,MATCH(Schedule!N14,WeekDayAbb,0)+1,1))</f>
        <v>Sa</v>
      </c>
      <c r="P14" s="3" t="str" cm="1">
        <f t="array" ref="P14">IF(MATCH(O14,WeekDayAbb,0)=7,Sheet2!$B$1,INDEX(WeekDayAbb,MATCH(Schedule!O14,WeekDayAbb,0)+1,1))</f>
        <v>Su</v>
      </c>
      <c r="Q14" s="7"/>
      <c r="R14" s="3" t="str">
        <f>INDEX(WeekDayAbb,MATCH(StartDay,WeekDay,0),1)</f>
        <v>Mo</v>
      </c>
      <c r="S14" s="3" t="str" cm="1">
        <f t="array" ref="S14">IF(MATCH(R14,WeekDayAbb,0)=7,Sheet2!$B$1,INDEX(WeekDayAbb,MATCH(Schedule!R14,WeekDayAbb,0)+1,1))</f>
        <v>Tu</v>
      </c>
      <c r="T14" s="3" t="str" cm="1">
        <f t="array" ref="T14">IF(MATCH(S14,WeekDayAbb,0)=7,Sheet2!$B$1,INDEX(WeekDayAbb,MATCH(Schedule!S14,WeekDayAbb,0)+1,1))</f>
        <v>We</v>
      </c>
      <c r="U14" s="3" t="str" cm="1">
        <f t="array" ref="U14">IF(MATCH(T14,WeekDayAbb,0)=7,Sheet2!$B$1,INDEX(WeekDayAbb,MATCH(Schedule!T14,WeekDayAbb,0)+1,1))</f>
        <v>Th</v>
      </c>
      <c r="V14" s="3" t="str" cm="1">
        <f t="array" ref="V14">IF(MATCH(U14,WeekDayAbb,0)=7,Sheet2!$B$1,INDEX(WeekDayAbb,MATCH(Schedule!U14,WeekDayAbb,0)+1,1))</f>
        <v>Fr</v>
      </c>
      <c r="W14" s="3" t="str" cm="1">
        <f t="array" ref="W14">IF(MATCH(V14,WeekDayAbb,0)=7,Sheet2!$B$1,INDEX(WeekDayAbb,MATCH(Schedule!V14,WeekDayAbb,0)+1,1))</f>
        <v>Sa</v>
      </c>
      <c r="X14" s="3" t="str" cm="1">
        <f t="array" ref="X14">IF(MATCH(W14,WeekDayAbb,0)=7,Sheet2!$B$1,INDEX(WeekDayAbb,MATCH(Schedule!W14,WeekDayAbb,0)+1,1))</f>
        <v>Su</v>
      </c>
      <c r="Y14" s="7"/>
      <c r="Z14" s="3" t="str">
        <f>INDEX(WeekDayAbb,MATCH(StartDay,WeekDay,0),1)</f>
        <v>Mo</v>
      </c>
      <c r="AA14" s="3" t="str" cm="1">
        <f t="array" ref="AA14">IF(MATCH(Z14,WeekDayAbb,0)=7,Sheet2!$B$1,INDEX(WeekDayAbb,MATCH(Schedule!Z14,WeekDayAbb,0)+1,1))</f>
        <v>Tu</v>
      </c>
      <c r="AB14" s="3" t="str" cm="1">
        <f t="array" ref="AB14">IF(MATCH(AA14,WeekDayAbb,0)=7,Sheet2!$B$1,INDEX(WeekDayAbb,MATCH(Schedule!AA14,WeekDayAbb,0)+1,1))</f>
        <v>We</v>
      </c>
      <c r="AC14" s="3" t="str" cm="1">
        <f t="array" ref="AC14">IF(MATCH(AB14,WeekDayAbb,0)=7,Sheet2!$B$1,INDEX(WeekDayAbb,MATCH(Schedule!AB14,WeekDayAbb,0)+1,1))</f>
        <v>Th</v>
      </c>
      <c r="AD14" s="3" t="str" cm="1">
        <f t="array" ref="AD14">IF(MATCH(AC14,WeekDayAbb,0)=7,Sheet2!$B$1,INDEX(WeekDayAbb,MATCH(Schedule!AC14,WeekDayAbb,0)+1,1))</f>
        <v>Fr</v>
      </c>
      <c r="AE14" s="3" t="str" cm="1">
        <f t="array" ref="AE14">IF(MATCH(AD14,WeekDayAbb,0)=7,Sheet2!$B$1,INDEX(WeekDayAbb,MATCH(Schedule!AD14,WeekDayAbb,0)+1,1))</f>
        <v>Sa</v>
      </c>
      <c r="AF14" s="3" t="str" cm="1">
        <f t="array" ref="AF14">IF(MATCH(AE14,WeekDayAbb,0)=7,Sheet2!$B$1,INDEX(WeekDayAbb,MATCH(Schedule!AE14,WeekDayAbb,0)+1,1))</f>
        <v>Su</v>
      </c>
      <c r="AG14" s="7"/>
      <c r="AH14" s="8"/>
      <c r="AI14" s="7"/>
    </row>
    <row r="15" spans="1:35" ht="15.75" x14ac:dyDescent="0.2">
      <c r="A15" s="7"/>
      <c r="B15" s="4" t="str">
        <f>IF(WEEKDAY(B13,2)=StartDayNum,B13,"")</f>
        <v/>
      </c>
      <c r="C15" s="5" t="str">
        <f>IF(B15&lt;&gt;"",B15+1,IF(WEEKDAY(B13,2)=MOD(StartDayNum,7)+1,B13,""))</f>
        <v/>
      </c>
      <c r="D15" s="5" t="str">
        <f>IF(C15&lt;&gt;"",C15+1,IF(WEEKDAY(B13,2)=MOD(StartDayNum+1,7)+1,B13,""))</f>
        <v/>
      </c>
      <c r="E15" s="5">
        <f>IF(D15&lt;&gt;"",D15+1,IF(WEEKDAY(B13,2)=MOD(StartDayNum+2,7)+1,B13,""))</f>
        <v>45778</v>
      </c>
      <c r="F15" s="5">
        <f>IF(E15&lt;&gt;"",E15+1,IF(WEEKDAY(B13,2)=MOD(StartDayNum+3,7)+1,B13,""))</f>
        <v>45779</v>
      </c>
      <c r="G15" s="5">
        <f>IF(F15&lt;&gt;"",F15+1,IF(WEEKDAY(B13,2)=MOD(StartDayNum+4,7)+1,B13,""))</f>
        <v>45780</v>
      </c>
      <c r="H15" s="5">
        <f>IF(G15&lt;&gt;"",G15+1,IF(WEEKDAY(B13,2)=MOD(StartDayNum+5,7)+1,B13,""))</f>
        <v>45781</v>
      </c>
      <c r="I15" s="7"/>
      <c r="J15" s="4" t="str">
        <f>IF(WEEKDAY(J13,2)=StartDayNum,J13,"")</f>
        <v/>
      </c>
      <c r="K15" s="5" t="str">
        <f>IF(J15&lt;&gt;"",J15+1,IF(WEEKDAY(J13,2)=MOD(StartDayNum,7)+1,J13,""))</f>
        <v/>
      </c>
      <c r="L15" s="5" t="str">
        <f>IF(K15&lt;&gt;"",K15+1,IF(WEEKDAY(J13,2)=MOD(StartDayNum+1,7)+1,J13,""))</f>
        <v/>
      </c>
      <c r="M15" s="5" t="str">
        <f>IF(L15&lt;&gt;"",L15+1,IF(WEEKDAY(J13,2)=MOD(StartDayNum+2,7)+1,J13,""))</f>
        <v/>
      </c>
      <c r="N15" s="5" t="str">
        <f>IF(M15&lt;&gt;"",M15+1,IF(WEEKDAY(J13,2)=MOD(StartDayNum+3,7)+1,J13,""))</f>
        <v/>
      </c>
      <c r="O15" s="5" t="str">
        <f>IF(N15&lt;&gt;"",N15+1,IF(WEEKDAY(J13,2)=MOD(StartDayNum+4,7)+1,J13,""))</f>
        <v/>
      </c>
      <c r="P15" s="5">
        <f>IF(O15&lt;&gt;"",O15+1,IF(WEEKDAY(J13,2)=MOD(StartDayNum+5,7)+1,J13,""))</f>
        <v>45809</v>
      </c>
      <c r="Q15" s="7"/>
      <c r="R15" s="4" t="str">
        <f>IF(WEEKDAY(R13,2)=StartDayNum,R13,"")</f>
        <v/>
      </c>
      <c r="S15" s="5">
        <f>IF(R15&lt;&gt;"",R15+1,IF(WEEKDAY(R13,2)=MOD(StartDayNum,7)+1,R13,""))</f>
        <v>45839</v>
      </c>
      <c r="T15" s="5">
        <f>IF(S15&lt;&gt;"",S15+1,IF(WEEKDAY(R13,2)=MOD(StartDayNum+1,7)+1,R13,""))</f>
        <v>45840</v>
      </c>
      <c r="U15" s="5">
        <f>IF(T15&lt;&gt;"",T15+1,IF(WEEKDAY(R13,2)=MOD(StartDayNum+2,7)+1,R13,""))</f>
        <v>45841</v>
      </c>
      <c r="V15" s="5">
        <f>IF(U15&lt;&gt;"",U15+1,IF(WEEKDAY(R13,2)=MOD(StartDayNum+3,7)+1,R13,""))</f>
        <v>45842</v>
      </c>
      <c r="W15" s="5">
        <f>IF(V15&lt;&gt;"",V15+1,IF(WEEKDAY(R13,2)=MOD(StartDayNum+4,7)+1,R13,""))</f>
        <v>45843</v>
      </c>
      <c r="X15" s="5">
        <f>IF(W15&lt;&gt;"",W15+1,IF(WEEKDAY(R13,2)=MOD(StartDayNum+5,7)+1,R13,""))</f>
        <v>45844</v>
      </c>
      <c r="Y15" s="7"/>
      <c r="Z15" s="4" t="str">
        <f>IF(WEEKDAY(Z13,2)=StartDayNum,Z13,"")</f>
        <v/>
      </c>
      <c r="AA15" s="5" t="str">
        <f>IF(Z15&lt;&gt;"",Z15+1,IF(WEEKDAY(Z13,2)=MOD(StartDayNum,7)+1,Z13,""))</f>
        <v/>
      </c>
      <c r="AB15" s="5" t="str">
        <f>IF(AA15&lt;&gt;"",AA15+1,IF(WEEKDAY(Z13,2)=MOD(StartDayNum+1,7)+1,Z13,""))</f>
        <v/>
      </c>
      <c r="AC15" s="5" t="str">
        <f>IF(AB15&lt;&gt;"",AB15+1,IF(WEEKDAY(Z13,2)=MOD(StartDayNum+2,7)+1,Z13,""))</f>
        <v/>
      </c>
      <c r="AD15" s="5">
        <f>IF(AC15&lt;&gt;"",AC15+1,IF(WEEKDAY(Z13,2)=MOD(StartDayNum+3,7)+1,Z13,""))</f>
        <v>45870</v>
      </c>
      <c r="AE15" s="5">
        <f>IF(AD15&lt;&gt;"",AD15+1,IF(WEEKDAY(Z13,2)=MOD(StartDayNum+4,7)+1,Z13,""))</f>
        <v>45871</v>
      </c>
      <c r="AF15" s="5">
        <f>IF(AE15&lt;&gt;"",AE15+1,IF(WEEKDAY(Z13,2)=MOD(StartDayNum+5,7)+1,Z13,""))</f>
        <v>45872</v>
      </c>
      <c r="AG15" s="7"/>
      <c r="AH15" s="8"/>
      <c r="AI15" s="7"/>
    </row>
    <row r="16" spans="1:35" ht="15.75" x14ac:dyDescent="0.2">
      <c r="A16" s="7"/>
      <c r="B16" s="6">
        <f>IF(H15="","",IF(MONTH(H15)&lt;&gt;MONTH(H15+1),"",H15+1))</f>
        <v>45782</v>
      </c>
      <c r="C16" s="6">
        <f>IF(B16="","",IF(MONTH(B16)&lt;&gt;MONTH(B16+1),"",B16+1))</f>
        <v>45783</v>
      </c>
      <c r="D16" s="6">
        <f t="shared" ref="D16:D20" si="27">IF(C16="","",IF(MONTH(C16)&lt;&gt;MONTH(C16+1),"",C16+1))</f>
        <v>45784</v>
      </c>
      <c r="E16" s="6">
        <f t="shared" ref="E16:E20" si="28">IF(D16="","",IF(MONTH(D16)&lt;&gt;MONTH(D16+1),"",D16+1))</f>
        <v>45785</v>
      </c>
      <c r="F16" s="6">
        <f t="shared" ref="F16:F20" si="29">IF(E16="","",IF(MONTH(E16)&lt;&gt;MONTH(E16+1),"",E16+1))</f>
        <v>45786</v>
      </c>
      <c r="G16" s="6">
        <f t="shared" ref="G16:G20" si="30">IF(F16="","",IF(MONTH(F16)&lt;&gt;MONTH(F16+1),"",F16+1))</f>
        <v>45787</v>
      </c>
      <c r="H16" s="6">
        <f t="shared" ref="H16:H20" si="31">IF(G16="","",IF(MONTH(G16)&lt;&gt;MONTH(G16+1),"",G16+1))</f>
        <v>45788</v>
      </c>
      <c r="I16" s="7"/>
      <c r="J16" s="6">
        <f>IF(P15="","",IF(MONTH(P15)&lt;&gt;MONTH(P15+1),"",P15+1))</f>
        <v>45810</v>
      </c>
      <c r="K16" s="6">
        <f>IF(J16="","",IF(MONTH(J16)&lt;&gt;MONTH(J16+1),"",J16+1))</f>
        <v>45811</v>
      </c>
      <c r="L16" s="6">
        <f t="shared" ref="L16:L20" si="32">IF(K16="","",IF(MONTH(K16)&lt;&gt;MONTH(K16+1),"",K16+1))</f>
        <v>45812</v>
      </c>
      <c r="M16" s="6">
        <f t="shared" ref="M16:M20" si="33">IF(L16="","",IF(MONTH(L16)&lt;&gt;MONTH(L16+1),"",L16+1))</f>
        <v>45813</v>
      </c>
      <c r="N16" s="6">
        <f t="shared" ref="N16:N20" si="34">IF(M16="","",IF(MONTH(M16)&lt;&gt;MONTH(M16+1),"",M16+1))</f>
        <v>45814</v>
      </c>
      <c r="O16" s="6">
        <f t="shared" ref="O16:O20" si="35">IF(N16="","",IF(MONTH(N16)&lt;&gt;MONTH(N16+1),"",N16+1))</f>
        <v>45815</v>
      </c>
      <c r="P16" s="6">
        <f t="shared" ref="P16:P20" si="36">IF(O16="","",IF(MONTH(O16)&lt;&gt;MONTH(O16+1),"",O16+1))</f>
        <v>45816</v>
      </c>
      <c r="Q16" s="7"/>
      <c r="R16" s="6">
        <f>IF(X15="","",IF(MONTH(X15)&lt;&gt;MONTH(X15+1),"",X15+1))</f>
        <v>45845</v>
      </c>
      <c r="S16" s="6">
        <f>IF(R16="","",IF(MONTH(R16)&lt;&gt;MONTH(R16+1),"",R16+1))</f>
        <v>45846</v>
      </c>
      <c r="T16" s="6">
        <f t="shared" ref="T16:T20" si="37">IF(S16="","",IF(MONTH(S16)&lt;&gt;MONTH(S16+1),"",S16+1))</f>
        <v>45847</v>
      </c>
      <c r="U16" s="6">
        <f t="shared" ref="U16:U20" si="38">IF(T16="","",IF(MONTH(T16)&lt;&gt;MONTH(T16+1),"",T16+1))</f>
        <v>45848</v>
      </c>
      <c r="V16" s="6">
        <f t="shared" ref="V16:V20" si="39">IF(U16="","",IF(MONTH(U16)&lt;&gt;MONTH(U16+1),"",U16+1))</f>
        <v>45849</v>
      </c>
      <c r="W16" s="6">
        <f t="shared" ref="W16:W20" si="40">IF(V16="","",IF(MONTH(V16)&lt;&gt;MONTH(V16+1),"",V16+1))</f>
        <v>45850</v>
      </c>
      <c r="X16" s="6">
        <f t="shared" ref="X16:X20" si="41">IF(W16="","",IF(MONTH(W16)&lt;&gt;MONTH(W16+1),"",W16+1))</f>
        <v>45851</v>
      </c>
      <c r="Y16" s="7"/>
      <c r="Z16" s="6">
        <f>IF(AF15="","",IF(MONTH(AF15)&lt;&gt;MONTH(AF15+1),"",AF15+1))</f>
        <v>45873</v>
      </c>
      <c r="AA16" s="6">
        <f>IF(Z16="","",IF(MONTH(Z16)&lt;&gt;MONTH(Z16+1),"",Z16+1))</f>
        <v>45874</v>
      </c>
      <c r="AB16" s="6">
        <f t="shared" ref="AB16:AB20" si="42">IF(AA16="","",IF(MONTH(AA16)&lt;&gt;MONTH(AA16+1),"",AA16+1))</f>
        <v>45875</v>
      </c>
      <c r="AC16" s="6">
        <f t="shared" ref="AC16:AC20" si="43">IF(AB16="","",IF(MONTH(AB16)&lt;&gt;MONTH(AB16+1),"",AB16+1))</f>
        <v>45876</v>
      </c>
      <c r="AD16" s="6">
        <f t="shared" ref="AD16:AD20" si="44">IF(AC16="","",IF(MONTH(AC16)&lt;&gt;MONTH(AC16+1),"",AC16+1))</f>
        <v>45877</v>
      </c>
      <c r="AE16" s="6">
        <f t="shared" ref="AE16:AE20" si="45">IF(AD16="","",IF(MONTH(AD16)&lt;&gt;MONTH(AD16+1),"",AD16+1))</f>
        <v>45878</v>
      </c>
      <c r="AF16" s="6">
        <f t="shared" ref="AF16:AF20" si="46">IF(AE16="","",IF(MONTH(AE16)&lt;&gt;MONTH(AE16+1),"",AE16+1))</f>
        <v>45879</v>
      </c>
      <c r="AG16" s="7"/>
      <c r="AH16" s="8"/>
      <c r="AI16" s="7"/>
    </row>
    <row r="17" spans="1:35" ht="15.75" x14ac:dyDescent="0.2">
      <c r="A17" s="7"/>
      <c r="B17" s="6">
        <f t="shared" ref="B17:B20" si="47">IF(H16="","",IF(MONTH(H16)&lt;&gt;MONTH(H16+1),"",H16+1))</f>
        <v>45789</v>
      </c>
      <c r="C17" s="6">
        <f t="shared" ref="C17:C20" si="48">IF(B17="","",IF(MONTH(B17)&lt;&gt;MONTH(B17+1),"",B17+1))</f>
        <v>45790</v>
      </c>
      <c r="D17" s="6">
        <f t="shared" si="27"/>
        <v>45791</v>
      </c>
      <c r="E17" s="6">
        <f t="shared" si="28"/>
        <v>45792</v>
      </c>
      <c r="F17" s="6">
        <f t="shared" si="29"/>
        <v>45793</v>
      </c>
      <c r="G17" s="6">
        <f t="shared" si="30"/>
        <v>45794</v>
      </c>
      <c r="H17" s="6">
        <f t="shared" si="31"/>
        <v>45795</v>
      </c>
      <c r="I17" s="7"/>
      <c r="J17" s="6">
        <f t="shared" ref="J17:J20" si="49">IF(P16="","",IF(MONTH(P16)&lt;&gt;MONTH(P16+1),"",P16+1))</f>
        <v>45817</v>
      </c>
      <c r="K17" s="6">
        <f t="shared" ref="K17:K20" si="50">IF(J17="","",IF(MONTH(J17)&lt;&gt;MONTH(J17+1),"",J17+1))</f>
        <v>45818</v>
      </c>
      <c r="L17" s="6">
        <f t="shared" si="32"/>
        <v>45819</v>
      </c>
      <c r="M17" s="6">
        <f t="shared" si="33"/>
        <v>45820</v>
      </c>
      <c r="N17" s="6">
        <f t="shared" si="34"/>
        <v>45821</v>
      </c>
      <c r="O17" s="6">
        <f t="shared" si="35"/>
        <v>45822</v>
      </c>
      <c r="P17" s="6">
        <f t="shared" si="36"/>
        <v>45823</v>
      </c>
      <c r="Q17" s="7"/>
      <c r="R17" s="6">
        <f t="shared" ref="R17:R20" si="51">IF(X16="","",IF(MONTH(X16)&lt;&gt;MONTH(X16+1),"",X16+1))</f>
        <v>45852</v>
      </c>
      <c r="S17" s="6">
        <f t="shared" ref="S17:S20" si="52">IF(R17="","",IF(MONTH(R17)&lt;&gt;MONTH(R17+1),"",R17+1))</f>
        <v>45853</v>
      </c>
      <c r="T17" s="6">
        <f t="shared" si="37"/>
        <v>45854</v>
      </c>
      <c r="U17" s="6">
        <f t="shared" si="38"/>
        <v>45855</v>
      </c>
      <c r="V17" s="6">
        <f t="shared" si="39"/>
        <v>45856</v>
      </c>
      <c r="W17" s="6">
        <f t="shared" si="40"/>
        <v>45857</v>
      </c>
      <c r="X17" s="6">
        <f t="shared" si="41"/>
        <v>45858</v>
      </c>
      <c r="Y17" s="7"/>
      <c r="Z17" s="6">
        <f t="shared" ref="Z17:Z20" si="53">IF(AF16="","",IF(MONTH(AF16)&lt;&gt;MONTH(AF16+1),"",AF16+1))</f>
        <v>45880</v>
      </c>
      <c r="AA17" s="6">
        <f t="shared" ref="AA17:AA20" si="54">IF(Z17="","",IF(MONTH(Z17)&lt;&gt;MONTH(Z17+1),"",Z17+1))</f>
        <v>45881</v>
      </c>
      <c r="AB17" s="6">
        <f t="shared" si="42"/>
        <v>45882</v>
      </c>
      <c r="AC17" s="6">
        <f t="shared" si="43"/>
        <v>45883</v>
      </c>
      <c r="AD17" s="6">
        <f t="shared" si="44"/>
        <v>45884</v>
      </c>
      <c r="AE17" s="6">
        <f t="shared" si="45"/>
        <v>45885</v>
      </c>
      <c r="AF17" s="6">
        <f t="shared" si="46"/>
        <v>45886</v>
      </c>
      <c r="AG17" s="7"/>
      <c r="AH17" s="8"/>
      <c r="AI17" s="7"/>
    </row>
    <row r="18" spans="1:35" ht="15.75" x14ac:dyDescent="0.2">
      <c r="A18" s="7"/>
      <c r="B18" s="6">
        <f t="shared" si="47"/>
        <v>45796</v>
      </c>
      <c r="C18" s="6">
        <f t="shared" si="48"/>
        <v>45797</v>
      </c>
      <c r="D18" s="6">
        <f t="shared" si="27"/>
        <v>45798</v>
      </c>
      <c r="E18" s="6">
        <f t="shared" si="28"/>
        <v>45799</v>
      </c>
      <c r="F18" s="6">
        <f t="shared" si="29"/>
        <v>45800</v>
      </c>
      <c r="G18" s="6">
        <f t="shared" si="30"/>
        <v>45801</v>
      </c>
      <c r="H18" s="6">
        <f t="shared" si="31"/>
        <v>45802</v>
      </c>
      <c r="I18" s="7"/>
      <c r="J18" s="6">
        <f t="shared" si="49"/>
        <v>45824</v>
      </c>
      <c r="K18" s="6">
        <f t="shared" si="50"/>
        <v>45825</v>
      </c>
      <c r="L18" s="6">
        <f t="shared" si="32"/>
        <v>45826</v>
      </c>
      <c r="M18" s="6">
        <f t="shared" si="33"/>
        <v>45827</v>
      </c>
      <c r="N18" s="6">
        <f t="shared" si="34"/>
        <v>45828</v>
      </c>
      <c r="O18" s="6">
        <f t="shared" si="35"/>
        <v>45829</v>
      </c>
      <c r="P18" s="6">
        <f t="shared" si="36"/>
        <v>45830</v>
      </c>
      <c r="Q18" s="7"/>
      <c r="R18" s="6">
        <f t="shared" si="51"/>
        <v>45859</v>
      </c>
      <c r="S18" s="6">
        <f t="shared" si="52"/>
        <v>45860</v>
      </c>
      <c r="T18" s="6">
        <f t="shared" si="37"/>
        <v>45861</v>
      </c>
      <c r="U18" s="6">
        <f t="shared" si="38"/>
        <v>45862</v>
      </c>
      <c r="V18" s="6">
        <f t="shared" si="39"/>
        <v>45863</v>
      </c>
      <c r="W18" s="6">
        <f t="shared" si="40"/>
        <v>45864</v>
      </c>
      <c r="X18" s="6">
        <f t="shared" si="41"/>
        <v>45865</v>
      </c>
      <c r="Y18" s="7"/>
      <c r="Z18" s="6">
        <f t="shared" si="53"/>
        <v>45887</v>
      </c>
      <c r="AA18" s="6">
        <f t="shared" si="54"/>
        <v>45888</v>
      </c>
      <c r="AB18" s="6">
        <f t="shared" si="42"/>
        <v>45889</v>
      </c>
      <c r="AC18" s="6">
        <f t="shared" si="43"/>
        <v>45890</v>
      </c>
      <c r="AD18" s="6">
        <f t="shared" si="44"/>
        <v>45891</v>
      </c>
      <c r="AE18" s="6">
        <f t="shared" si="45"/>
        <v>45892</v>
      </c>
      <c r="AF18" s="6">
        <f t="shared" si="46"/>
        <v>45893</v>
      </c>
      <c r="AG18" s="7"/>
      <c r="AH18" s="8"/>
      <c r="AI18" s="7"/>
    </row>
    <row r="19" spans="1:35" ht="15.75" x14ac:dyDescent="0.2">
      <c r="A19" s="7"/>
      <c r="B19" s="6">
        <f t="shared" si="47"/>
        <v>45803</v>
      </c>
      <c r="C19" s="6">
        <f t="shared" si="48"/>
        <v>45804</v>
      </c>
      <c r="D19" s="6">
        <f t="shared" si="27"/>
        <v>45805</v>
      </c>
      <c r="E19" s="6">
        <f t="shared" si="28"/>
        <v>45806</v>
      </c>
      <c r="F19" s="6">
        <f t="shared" si="29"/>
        <v>45807</v>
      </c>
      <c r="G19" s="6">
        <f t="shared" si="30"/>
        <v>45808</v>
      </c>
      <c r="H19" s="6" t="str">
        <f t="shared" si="31"/>
        <v/>
      </c>
      <c r="I19" s="7"/>
      <c r="J19" s="6">
        <f t="shared" si="49"/>
        <v>45831</v>
      </c>
      <c r="K19" s="6">
        <f t="shared" si="50"/>
        <v>45832</v>
      </c>
      <c r="L19" s="6">
        <f t="shared" si="32"/>
        <v>45833</v>
      </c>
      <c r="M19" s="6">
        <f t="shared" si="33"/>
        <v>45834</v>
      </c>
      <c r="N19" s="6">
        <f t="shared" si="34"/>
        <v>45835</v>
      </c>
      <c r="O19" s="6">
        <f t="shared" si="35"/>
        <v>45836</v>
      </c>
      <c r="P19" s="6">
        <f t="shared" si="36"/>
        <v>45837</v>
      </c>
      <c r="Q19" s="7"/>
      <c r="R19" s="6">
        <f t="shared" si="51"/>
        <v>45866</v>
      </c>
      <c r="S19" s="6">
        <f t="shared" si="52"/>
        <v>45867</v>
      </c>
      <c r="T19" s="6">
        <f t="shared" si="37"/>
        <v>45868</v>
      </c>
      <c r="U19" s="6">
        <f t="shared" si="38"/>
        <v>45869</v>
      </c>
      <c r="V19" s="6" t="str">
        <f t="shared" si="39"/>
        <v/>
      </c>
      <c r="W19" s="6" t="str">
        <f t="shared" si="40"/>
        <v/>
      </c>
      <c r="X19" s="6" t="str">
        <f t="shared" si="41"/>
        <v/>
      </c>
      <c r="Y19" s="7"/>
      <c r="Z19" s="6">
        <f t="shared" si="53"/>
        <v>45894</v>
      </c>
      <c r="AA19" s="6">
        <f t="shared" si="54"/>
        <v>45895</v>
      </c>
      <c r="AB19" s="6">
        <f t="shared" si="42"/>
        <v>45896</v>
      </c>
      <c r="AC19" s="6">
        <f t="shared" si="43"/>
        <v>45897</v>
      </c>
      <c r="AD19" s="6">
        <f t="shared" si="44"/>
        <v>45898</v>
      </c>
      <c r="AE19" s="6">
        <f t="shared" si="45"/>
        <v>45899</v>
      </c>
      <c r="AF19" s="6">
        <f t="shared" si="46"/>
        <v>45900</v>
      </c>
      <c r="AG19" s="7"/>
      <c r="AH19" s="8"/>
      <c r="AI19" s="7"/>
    </row>
    <row r="20" spans="1:35" ht="15.75" x14ac:dyDescent="0.2">
      <c r="A20" s="7"/>
      <c r="B20" s="6" t="str">
        <f t="shared" si="47"/>
        <v/>
      </c>
      <c r="C20" s="6" t="str">
        <f t="shared" si="48"/>
        <v/>
      </c>
      <c r="D20" s="6" t="str">
        <f t="shared" si="27"/>
        <v/>
      </c>
      <c r="E20" s="6" t="str">
        <f t="shared" si="28"/>
        <v/>
      </c>
      <c r="F20" s="6" t="str">
        <f t="shared" si="29"/>
        <v/>
      </c>
      <c r="G20" s="6" t="str">
        <f t="shared" si="30"/>
        <v/>
      </c>
      <c r="H20" s="6" t="str">
        <f t="shared" si="31"/>
        <v/>
      </c>
      <c r="I20" s="7"/>
      <c r="J20" s="6">
        <f t="shared" si="49"/>
        <v>45838</v>
      </c>
      <c r="K20" s="6" t="str">
        <f t="shared" si="50"/>
        <v/>
      </c>
      <c r="L20" s="6" t="str">
        <f t="shared" si="32"/>
        <v/>
      </c>
      <c r="M20" s="6" t="str">
        <f t="shared" si="33"/>
        <v/>
      </c>
      <c r="N20" s="6" t="str">
        <f t="shared" si="34"/>
        <v/>
      </c>
      <c r="O20" s="6" t="str">
        <f t="shared" si="35"/>
        <v/>
      </c>
      <c r="P20" s="6" t="str">
        <f t="shared" si="36"/>
        <v/>
      </c>
      <c r="Q20" s="7"/>
      <c r="R20" s="6" t="str">
        <f t="shared" si="51"/>
        <v/>
      </c>
      <c r="S20" s="6" t="str">
        <f t="shared" si="52"/>
        <v/>
      </c>
      <c r="T20" s="6" t="str">
        <f t="shared" si="37"/>
        <v/>
      </c>
      <c r="U20" s="6" t="str">
        <f t="shared" si="38"/>
        <v/>
      </c>
      <c r="V20" s="6" t="str">
        <f t="shared" si="39"/>
        <v/>
      </c>
      <c r="W20" s="6" t="str">
        <f t="shared" si="40"/>
        <v/>
      </c>
      <c r="X20" s="6" t="str">
        <f t="shared" si="41"/>
        <v/>
      </c>
      <c r="Y20" s="7"/>
      <c r="Z20" s="6" t="str">
        <f t="shared" si="53"/>
        <v/>
      </c>
      <c r="AA20" s="6" t="str">
        <f t="shared" si="54"/>
        <v/>
      </c>
      <c r="AB20" s="6" t="str">
        <f t="shared" si="42"/>
        <v/>
      </c>
      <c r="AC20" s="6" t="str">
        <f t="shared" si="43"/>
        <v/>
      </c>
      <c r="AD20" s="6" t="str">
        <f t="shared" si="44"/>
        <v/>
      </c>
      <c r="AE20" s="6" t="str">
        <f t="shared" si="45"/>
        <v/>
      </c>
      <c r="AF20" s="6" t="str">
        <f t="shared" si="46"/>
        <v/>
      </c>
      <c r="AG20" s="7"/>
      <c r="AH20" s="8"/>
      <c r="AI20" s="7"/>
    </row>
    <row r="21" spans="1:35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8"/>
      <c r="AI21" s="7"/>
    </row>
    <row r="22" spans="1:35" ht="18" x14ac:dyDescent="0.25">
      <c r="A22" s="7"/>
      <c r="B22" s="14">
        <f>DATE(ScYear,9,1)</f>
        <v>45901</v>
      </c>
      <c r="C22" s="14"/>
      <c r="D22" s="14"/>
      <c r="E22" s="14"/>
      <c r="F22" s="14"/>
      <c r="G22" s="14"/>
      <c r="H22" s="14"/>
      <c r="I22" s="7"/>
      <c r="J22" s="14">
        <f>DATE(ScYear,10,1)</f>
        <v>45931</v>
      </c>
      <c r="K22" s="14"/>
      <c r="L22" s="14"/>
      <c r="M22" s="14"/>
      <c r="N22" s="14"/>
      <c r="O22" s="14"/>
      <c r="P22" s="14"/>
      <c r="Q22" s="7"/>
      <c r="R22" s="14">
        <f>DATE(ScYear,11,1)</f>
        <v>45962</v>
      </c>
      <c r="S22" s="14"/>
      <c r="T22" s="14"/>
      <c r="U22" s="14"/>
      <c r="V22" s="14"/>
      <c r="W22" s="14"/>
      <c r="X22" s="14"/>
      <c r="Y22" s="7"/>
      <c r="Z22" s="14">
        <f>DATE(ScYear,12,1)</f>
        <v>45992</v>
      </c>
      <c r="AA22" s="14"/>
      <c r="AB22" s="14"/>
      <c r="AC22" s="14"/>
      <c r="AD22" s="14"/>
      <c r="AE22" s="14"/>
      <c r="AF22" s="14"/>
      <c r="AG22" s="7"/>
      <c r="AH22" s="8"/>
      <c r="AI22" s="7"/>
    </row>
    <row r="23" spans="1:35" ht="18" x14ac:dyDescent="0.25">
      <c r="A23" s="7"/>
      <c r="B23" s="3" t="str">
        <f>INDEX(WeekDayAbb,MATCH(StartDay,WeekDay,0),1)</f>
        <v>Mo</v>
      </c>
      <c r="C23" s="3" t="str" cm="1">
        <f t="array" ref="C23">IF(MATCH(B23,WeekDayAbb,0)=7,Sheet2!$B$1,INDEX(WeekDayAbb,MATCH(Schedule!B23,WeekDayAbb,0)+1,1))</f>
        <v>Tu</v>
      </c>
      <c r="D23" s="3" t="str" cm="1">
        <f t="array" ref="D23">IF(MATCH(C23,WeekDayAbb,0)=7,Sheet2!$B$1,INDEX(WeekDayAbb,MATCH(Schedule!C23,WeekDayAbb,0)+1,1))</f>
        <v>We</v>
      </c>
      <c r="E23" s="3" t="str" cm="1">
        <f t="array" ref="E23">IF(MATCH(D23,WeekDayAbb,0)=7,Sheet2!$B$1,INDEX(WeekDayAbb,MATCH(Schedule!D23,WeekDayAbb,0)+1,1))</f>
        <v>Th</v>
      </c>
      <c r="F23" s="3" t="str" cm="1">
        <f t="array" ref="F23">IF(MATCH(E23,WeekDayAbb,0)=7,Sheet2!$B$1,INDEX(WeekDayAbb,MATCH(Schedule!E23,WeekDayAbb,0)+1,1))</f>
        <v>Fr</v>
      </c>
      <c r="G23" s="3" t="str" cm="1">
        <f t="array" ref="G23">IF(MATCH(F23,WeekDayAbb,0)=7,Sheet2!$B$1,INDEX(WeekDayAbb,MATCH(Schedule!F23,WeekDayAbb,0)+1,1))</f>
        <v>Sa</v>
      </c>
      <c r="H23" s="3" t="str" cm="1">
        <f t="array" ref="H23">IF(MATCH(G23,WeekDayAbb,0)=7,Sheet2!$B$1,INDEX(WeekDayAbb,MATCH(Schedule!G23,WeekDayAbb,0)+1,1))</f>
        <v>Su</v>
      </c>
      <c r="I23" s="7"/>
      <c r="J23" s="3" t="str">
        <f>INDEX(WeekDayAbb,MATCH(StartDay,WeekDay,0),1)</f>
        <v>Mo</v>
      </c>
      <c r="K23" s="3" t="str" cm="1">
        <f t="array" ref="K23">IF(MATCH(J23,WeekDayAbb,0)=7,Sheet2!$B$1,INDEX(WeekDayAbb,MATCH(Schedule!J23,WeekDayAbb,0)+1,1))</f>
        <v>Tu</v>
      </c>
      <c r="L23" s="3" t="str" cm="1">
        <f t="array" ref="L23">IF(MATCH(K23,WeekDayAbb,0)=7,Sheet2!$B$1,INDEX(WeekDayAbb,MATCH(Schedule!K23,WeekDayAbb,0)+1,1))</f>
        <v>We</v>
      </c>
      <c r="M23" s="3" t="str" cm="1">
        <f t="array" ref="M23">IF(MATCH(L23,WeekDayAbb,0)=7,Sheet2!$B$1,INDEX(WeekDayAbb,MATCH(Schedule!L23,WeekDayAbb,0)+1,1))</f>
        <v>Th</v>
      </c>
      <c r="N23" s="3" t="str" cm="1">
        <f t="array" ref="N23">IF(MATCH(M23,WeekDayAbb,0)=7,Sheet2!$B$1,INDEX(WeekDayAbb,MATCH(Schedule!M23,WeekDayAbb,0)+1,1))</f>
        <v>Fr</v>
      </c>
      <c r="O23" s="3" t="str" cm="1">
        <f t="array" ref="O23">IF(MATCH(N23,WeekDayAbb,0)=7,Sheet2!$B$1,INDEX(WeekDayAbb,MATCH(Schedule!N23,WeekDayAbb,0)+1,1))</f>
        <v>Sa</v>
      </c>
      <c r="P23" s="3" t="str" cm="1">
        <f t="array" ref="P23">IF(MATCH(O23,WeekDayAbb,0)=7,Sheet2!$B$1,INDEX(WeekDayAbb,MATCH(Schedule!O23,WeekDayAbb,0)+1,1))</f>
        <v>Su</v>
      </c>
      <c r="Q23" s="7"/>
      <c r="R23" s="3" t="str">
        <f>INDEX(WeekDayAbb,MATCH(StartDay,WeekDay,0),1)</f>
        <v>Mo</v>
      </c>
      <c r="S23" s="3" t="str" cm="1">
        <f t="array" ref="S23">IF(MATCH(R23,WeekDayAbb,0)=7,Sheet2!$B$1,INDEX(WeekDayAbb,MATCH(Schedule!R23,WeekDayAbb,0)+1,1))</f>
        <v>Tu</v>
      </c>
      <c r="T23" s="3" t="str" cm="1">
        <f t="array" ref="T23">IF(MATCH(S23,WeekDayAbb,0)=7,Sheet2!$B$1,INDEX(WeekDayAbb,MATCH(Schedule!S23,WeekDayAbb,0)+1,1))</f>
        <v>We</v>
      </c>
      <c r="U23" s="3" t="str" cm="1">
        <f t="array" ref="U23">IF(MATCH(T23,WeekDayAbb,0)=7,Sheet2!$B$1,INDEX(WeekDayAbb,MATCH(Schedule!T23,WeekDayAbb,0)+1,1))</f>
        <v>Th</v>
      </c>
      <c r="V23" s="3" t="str" cm="1">
        <f t="array" ref="V23">IF(MATCH(U23,WeekDayAbb,0)=7,Sheet2!$B$1,INDEX(WeekDayAbb,MATCH(Schedule!U23,WeekDayAbb,0)+1,1))</f>
        <v>Fr</v>
      </c>
      <c r="W23" s="3" t="str" cm="1">
        <f t="array" ref="W23">IF(MATCH(V23,WeekDayAbb,0)=7,Sheet2!$B$1,INDEX(WeekDayAbb,MATCH(Schedule!V23,WeekDayAbb,0)+1,1))</f>
        <v>Sa</v>
      </c>
      <c r="X23" s="3" t="str" cm="1">
        <f t="array" ref="X23">IF(MATCH(W23,WeekDayAbb,0)=7,Sheet2!$B$1,INDEX(WeekDayAbb,MATCH(Schedule!W23,WeekDayAbb,0)+1,1))</f>
        <v>Su</v>
      </c>
      <c r="Y23" s="7"/>
      <c r="Z23" s="3" t="str">
        <f>INDEX(WeekDayAbb,MATCH(StartDay,WeekDay,0),1)</f>
        <v>Mo</v>
      </c>
      <c r="AA23" s="3" t="str" cm="1">
        <f t="array" ref="AA23">IF(MATCH(Z23,WeekDayAbb,0)=7,Sheet2!$B$1,INDEX(WeekDayAbb,MATCH(Schedule!Z23,WeekDayAbb,0)+1,1))</f>
        <v>Tu</v>
      </c>
      <c r="AB23" s="3" t="str" cm="1">
        <f t="array" ref="AB23">IF(MATCH(AA23,WeekDayAbb,0)=7,Sheet2!$B$1,INDEX(WeekDayAbb,MATCH(Schedule!AA23,WeekDayAbb,0)+1,1))</f>
        <v>We</v>
      </c>
      <c r="AC23" s="3" t="str" cm="1">
        <f t="array" ref="AC23">IF(MATCH(AB23,WeekDayAbb,0)=7,Sheet2!$B$1,INDEX(WeekDayAbb,MATCH(Schedule!AB23,WeekDayAbb,0)+1,1))</f>
        <v>Th</v>
      </c>
      <c r="AD23" s="3" t="str" cm="1">
        <f t="array" ref="AD23">IF(MATCH(AC23,WeekDayAbb,0)=7,Sheet2!$B$1,INDEX(WeekDayAbb,MATCH(Schedule!AC23,WeekDayAbb,0)+1,1))</f>
        <v>Fr</v>
      </c>
      <c r="AE23" s="3" t="str" cm="1">
        <f t="array" ref="AE23">IF(MATCH(AD23,WeekDayAbb,0)=7,Sheet2!$B$1,INDEX(WeekDayAbb,MATCH(Schedule!AD23,WeekDayAbb,0)+1,1))</f>
        <v>Sa</v>
      </c>
      <c r="AF23" s="3" t="str" cm="1">
        <f t="array" ref="AF23">IF(MATCH(AE23,WeekDayAbb,0)=7,Sheet2!$B$1,INDEX(WeekDayAbb,MATCH(Schedule!AE23,WeekDayAbb,0)+1,1))</f>
        <v>Su</v>
      </c>
      <c r="AG23" s="7"/>
      <c r="AH23" s="8"/>
      <c r="AI23" s="7"/>
    </row>
    <row r="24" spans="1:35" ht="15.75" x14ac:dyDescent="0.2">
      <c r="A24" s="7"/>
      <c r="B24" s="4">
        <f>IF(WEEKDAY(B22,2)=StartDayNum,B22,"")</f>
        <v>45901</v>
      </c>
      <c r="C24" s="5">
        <f>IF(B24&lt;&gt;"",B24+1,IF(WEEKDAY(B22,2)=MOD(StartDayNum,7)+1,B22,""))</f>
        <v>45902</v>
      </c>
      <c r="D24" s="5">
        <f>IF(C24&lt;&gt;"",C24+1,IF(WEEKDAY(B22,2)=MOD(StartDayNum+1,7)+1,B22,""))</f>
        <v>45903</v>
      </c>
      <c r="E24" s="5">
        <f>IF(D24&lt;&gt;"",D24+1,IF(WEEKDAY(B22,2)=MOD(StartDayNum+2,7)+1,B22,""))</f>
        <v>45904</v>
      </c>
      <c r="F24" s="5">
        <f>IF(E24&lt;&gt;"",E24+1,IF(WEEKDAY(B22,2)=MOD(StartDayNum+3,7)+1,B22,""))</f>
        <v>45905</v>
      </c>
      <c r="G24" s="5">
        <f>IF(F24&lt;&gt;"",F24+1,IF(WEEKDAY(B22,2)=MOD(StartDayNum+4,7)+1,B22,""))</f>
        <v>45906</v>
      </c>
      <c r="H24" s="5">
        <f>IF(G24&lt;&gt;"",G24+1,IF(WEEKDAY(B22,2)=MOD(StartDayNum+5,7)+1,B22,""))</f>
        <v>45907</v>
      </c>
      <c r="I24" s="7"/>
      <c r="J24" s="4" t="str">
        <f>IF(WEEKDAY(J22,2)=StartDayNum,J22,"")</f>
        <v/>
      </c>
      <c r="K24" s="5" t="str">
        <f>IF(J24&lt;&gt;"",J24+1,IF(WEEKDAY(J22,2)=MOD(StartDayNum,7)+1,J22,""))</f>
        <v/>
      </c>
      <c r="L24" s="5">
        <f>IF(K24&lt;&gt;"",K24+1,IF(WEEKDAY(J22,2)=MOD(StartDayNum+1,7)+1,J22,""))</f>
        <v>45931</v>
      </c>
      <c r="M24" s="5">
        <f>IF(L24&lt;&gt;"",L24+1,IF(WEEKDAY(J22,2)=MOD(StartDayNum+2,7)+1,J22,""))</f>
        <v>45932</v>
      </c>
      <c r="N24" s="5">
        <f>IF(M24&lt;&gt;"",M24+1,IF(WEEKDAY(J22,2)=MOD(StartDayNum+3,7)+1,J22,""))</f>
        <v>45933</v>
      </c>
      <c r="O24" s="5">
        <f>IF(N24&lt;&gt;"",N24+1,IF(WEEKDAY(J22,2)=MOD(StartDayNum+4,7)+1,J22,""))</f>
        <v>45934</v>
      </c>
      <c r="P24" s="5">
        <f>IF(O24&lt;&gt;"",O24+1,IF(WEEKDAY(J22,2)=MOD(StartDayNum+5,7)+1,J22,""))</f>
        <v>45935</v>
      </c>
      <c r="Q24" s="7"/>
      <c r="R24" s="4" t="str">
        <f>IF(WEEKDAY(R22,2)=StartDayNum,R22,"")</f>
        <v/>
      </c>
      <c r="S24" s="5" t="str">
        <f>IF(R24&lt;&gt;"",R24+1,IF(WEEKDAY(R22,2)=MOD(StartDayNum,7)+1,R22,""))</f>
        <v/>
      </c>
      <c r="T24" s="5" t="str">
        <f>IF(S24&lt;&gt;"",S24+1,IF(WEEKDAY(R22,2)=MOD(StartDayNum+1,7)+1,R22,""))</f>
        <v/>
      </c>
      <c r="U24" s="5" t="str">
        <f>IF(T24&lt;&gt;"",T24+1,IF(WEEKDAY(R22,2)=MOD(StartDayNum+2,7)+1,R22,""))</f>
        <v/>
      </c>
      <c r="V24" s="5" t="str">
        <f>IF(U24&lt;&gt;"",U24+1,IF(WEEKDAY(R22,2)=MOD(StartDayNum+3,7)+1,R22,""))</f>
        <v/>
      </c>
      <c r="W24" s="5">
        <f>IF(V24&lt;&gt;"",V24+1,IF(WEEKDAY(R22,2)=MOD(StartDayNum+4,7)+1,R22,""))</f>
        <v>45962</v>
      </c>
      <c r="X24" s="5">
        <f>IF(W24&lt;&gt;"",W24+1,IF(WEEKDAY(R22,2)=MOD(StartDayNum+5,7)+1,R22,""))</f>
        <v>45963</v>
      </c>
      <c r="Y24" s="7"/>
      <c r="Z24" s="4">
        <f>IF(WEEKDAY(Z22,2)=StartDayNum,Z22,"")</f>
        <v>45992</v>
      </c>
      <c r="AA24" s="5">
        <f>IF(Z24&lt;&gt;"",Z24+1,IF(WEEKDAY(Z22,2)=MOD(StartDayNum,7)+1,Z22,""))</f>
        <v>45993</v>
      </c>
      <c r="AB24" s="5">
        <f>IF(AA24&lt;&gt;"",AA24+1,IF(WEEKDAY(Z22,2)=MOD(StartDayNum+1,7)+1,Z22,""))</f>
        <v>45994</v>
      </c>
      <c r="AC24" s="5">
        <f>IF(AB24&lt;&gt;"",AB24+1,IF(WEEKDAY(Z22,2)=MOD(StartDayNum+2,7)+1,Z22,""))</f>
        <v>45995</v>
      </c>
      <c r="AD24" s="5">
        <f>IF(AC24&lt;&gt;"",AC24+1,IF(WEEKDAY(Z22,2)=MOD(StartDayNum+3,7)+1,Z22,""))</f>
        <v>45996</v>
      </c>
      <c r="AE24" s="5">
        <f>IF(AD24&lt;&gt;"",AD24+1,IF(WEEKDAY(Z22,2)=MOD(StartDayNum+4,7)+1,Z22,""))</f>
        <v>45997</v>
      </c>
      <c r="AF24" s="5">
        <f>IF(AE24&lt;&gt;"",AE24+1,IF(WEEKDAY(Z22,2)=MOD(StartDayNum+5,7)+1,Z22,""))</f>
        <v>45998</v>
      </c>
      <c r="AG24" s="7"/>
      <c r="AH24" s="8"/>
      <c r="AI24" s="7"/>
    </row>
    <row r="25" spans="1:35" ht="15.75" x14ac:dyDescent="0.2">
      <c r="A25" s="7"/>
      <c r="B25" s="6">
        <f>IF(H24="","",IF(MONTH(H24)&lt;&gt;MONTH(H24+1),"",H24+1))</f>
        <v>45908</v>
      </c>
      <c r="C25" s="6">
        <f>IF(B25="","",IF(MONTH(B25)&lt;&gt;MONTH(B25+1),"",B25+1))</f>
        <v>45909</v>
      </c>
      <c r="D25" s="6">
        <f t="shared" ref="D25:D29" si="55">IF(C25="","",IF(MONTH(C25)&lt;&gt;MONTH(C25+1),"",C25+1))</f>
        <v>45910</v>
      </c>
      <c r="E25" s="6">
        <f t="shared" ref="E25:E29" si="56">IF(D25="","",IF(MONTH(D25)&lt;&gt;MONTH(D25+1),"",D25+1))</f>
        <v>45911</v>
      </c>
      <c r="F25" s="6">
        <f t="shared" ref="F25:F29" si="57">IF(E25="","",IF(MONTH(E25)&lt;&gt;MONTH(E25+1),"",E25+1))</f>
        <v>45912</v>
      </c>
      <c r="G25" s="6">
        <f t="shared" ref="G25:G29" si="58">IF(F25="","",IF(MONTH(F25)&lt;&gt;MONTH(F25+1),"",F25+1))</f>
        <v>45913</v>
      </c>
      <c r="H25" s="6">
        <f t="shared" ref="H25:H29" si="59">IF(G25="","",IF(MONTH(G25)&lt;&gt;MONTH(G25+1),"",G25+1))</f>
        <v>45914</v>
      </c>
      <c r="I25" s="7"/>
      <c r="J25" s="6">
        <f>IF(P24="","",IF(MONTH(P24)&lt;&gt;MONTH(P24+1),"",P24+1))</f>
        <v>45936</v>
      </c>
      <c r="K25" s="6">
        <f>IF(J25="","",IF(MONTH(J25)&lt;&gt;MONTH(J25+1),"",J25+1))</f>
        <v>45937</v>
      </c>
      <c r="L25" s="6">
        <f t="shared" ref="L25:L29" si="60">IF(K25="","",IF(MONTH(K25)&lt;&gt;MONTH(K25+1),"",K25+1))</f>
        <v>45938</v>
      </c>
      <c r="M25" s="6">
        <f t="shared" ref="M25:M29" si="61">IF(L25="","",IF(MONTH(L25)&lt;&gt;MONTH(L25+1),"",L25+1))</f>
        <v>45939</v>
      </c>
      <c r="N25" s="6">
        <f t="shared" ref="N25:N29" si="62">IF(M25="","",IF(MONTH(M25)&lt;&gt;MONTH(M25+1),"",M25+1))</f>
        <v>45940</v>
      </c>
      <c r="O25" s="6">
        <f t="shared" ref="O25:O29" si="63">IF(N25="","",IF(MONTH(N25)&lt;&gt;MONTH(N25+1),"",N25+1))</f>
        <v>45941</v>
      </c>
      <c r="P25" s="6">
        <f t="shared" ref="P25:P29" si="64">IF(O25="","",IF(MONTH(O25)&lt;&gt;MONTH(O25+1),"",O25+1))</f>
        <v>45942</v>
      </c>
      <c r="Q25" s="7"/>
      <c r="R25" s="6">
        <f>IF(X24="","",IF(MONTH(X24)&lt;&gt;MONTH(X24+1),"",X24+1))</f>
        <v>45964</v>
      </c>
      <c r="S25" s="6">
        <f>IF(R25="","",IF(MONTH(R25)&lt;&gt;MONTH(R25+1),"",R25+1))</f>
        <v>45965</v>
      </c>
      <c r="T25" s="6">
        <f t="shared" ref="T25:T29" si="65">IF(S25="","",IF(MONTH(S25)&lt;&gt;MONTH(S25+1),"",S25+1))</f>
        <v>45966</v>
      </c>
      <c r="U25" s="6">
        <f t="shared" ref="U25:U29" si="66">IF(T25="","",IF(MONTH(T25)&lt;&gt;MONTH(T25+1),"",T25+1))</f>
        <v>45967</v>
      </c>
      <c r="V25" s="6">
        <f t="shared" ref="V25:V29" si="67">IF(U25="","",IF(MONTH(U25)&lt;&gt;MONTH(U25+1),"",U25+1))</f>
        <v>45968</v>
      </c>
      <c r="W25" s="6">
        <f t="shared" ref="W25:W29" si="68">IF(V25="","",IF(MONTH(V25)&lt;&gt;MONTH(V25+1),"",V25+1))</f>
        <v>45969</v>
      </c>
      <c r="X25" s="6">
        <f t="shared" ref="X25:X29" si="69">IF(W25="","",IF(MONTH(W25)&lt;&gt;MONTH(W25+1),"",W25+1))</f>
        <v>45970</v>
      </c>
      <c r="Y25" s="7"/>
      <c r="Z25" s="6">
        <f>IF(AF24="","",IF(MONTH(AF24)&lt;&gt;MONTH(AF24+1),"",AF24+1))</f>
        <v>45999</v>
      </c>
      <c r="AA25" s="6">
        <f>IF(Z25="","",IF(MONTH(Z25)&lt;&gt;MONTH(Z25+1),"",Z25+1))</f>
        <v>46000</v>
      </c>
      <c r="AB25" s="6">
        <f t="shared" ref="AB25:AB29" si="70">IF(AA25="","",IF(MONTH(AA25)&lt;&gt;MONTH(AA25+1),"",AA25+1))</f>
        <v>46001</v>
      </c>
      <c r="AC25" s="6">
        <f t="shared" ref="AC25:AC29" si="71">IF(AB25="","",IF(MONTH(AB25)&lt;&gt;MONTH(AB25+1),"",AB25+1))</f>
        <v>46002</v>
      </c>
      <c r="AD25" s="6">
        <f t="shared" ref="AD25:AD29" si="72">IF(AC25="","",IF(MONTH(AC25)&lt;&gt;MONTH(AC25+1),"",AC25+1))</f>
        <v>46003</v>
      </c>
      <c r="AE25" s="6">
        <f t="shared" ref="AE25:AE29" si="73">IF(AD25="","",IF(MONTH(AD25)&lt;&gt;MONTH(AD25+1),"",AD25+1))</f>
        <v>46004</v>
      </c>
      <c r="AF25" s="6">
        <f t="shared" ref="AF25:AF29" si="74">IF(AE25="","",IF(MONTH(AE25)&lt;&gt;MONTH(AE25+1),"",AE25+1))</f>
        <v>46005</v>
      </c>
      <c r="AG25" s="7"/>
      <c r="AH25" s="8"/>
      <c r="AI25" s="7"/>
    </row>
    <row r="26" spans="1:35" ht="15.75" x14ac:dyDescent="0.2">
      <c r="A26" s="7"/>
      <c r="B26" s="6">
        <f t="shared" ref="B26:B29" si="75">IF(H25="","",IF(MONTH(H25)&lt;&gt;MONTH(H25+1),"",H25+1))</f>
        <v>45915</v>
      </c>
      <c r="C26" s="6">
        <f t="shared" ref="C26:C29" si="76">IF(B26="","",IF(MONTH(B26)&lt;&gt;MONTH(B26+1),"",B26+1))</f>
        <v>45916</v>
      </c>
      <c r="D26" s="6">
        <f t="shared" si="55"/>
        <v>45917</v>
      </c>
      <c r="E26" s="6">
        <f t="shared" si="56"/>
        <v>45918</v>
      </c>
      <c r="F26" s="6">
        <f t="shared" si="57"/>
        <v>45919</v>
      </c>
      <c r="G26" s="6">
        <f t="shared" si="58"/>
        <v>45920</v>
      </c>
      <c r="H26" s="6">
        <f t="shared" si="59"/>
        <v>45921</v>
      </c>
      <c r="I26" s="7"/>
      <c r="J26" s="6">
        <f t="shared" ref="J26:J29" si="77">IF(P25="","",IF(MONTH(P25)&lt;&gt;MONTH(P25+1),"",P25+1))</f>
        <v>45943</v>
      </c>
      <c r="K26" s="6">
        <f t="shared" ref="K26:K29" si="78">IF(J26="","",IF(MONTH(J26)&lt;&gt;MONTH(J26+1),"",J26+1))</f>
        <v>45944</v>
      </c>
      <c r="L26" s="6">
        <f t="shared" si="60"/>
        <v>45945</v>
      </c>
      <c r="M26" s="6">
        <f t="shared" si="61"/>
        <v>45946</v>
      </c>
      <c r="N26" s="6">
        <f t="shared" si="62"/>
        <v>45947</v>
      </c>
      <c r="O26" s="6">
        <f t="shared" si="63"/>
        <v>45948</v>
      </c>
      <c r="P26" s="6">
        <f t="shared" si="64"/>
        <v>45949</v>
      </c>
      <c r="Q26" s="7"/>
      <c r="R26" s="6">
        <f t="shared" ref="R26:R29" si="79">IF(X25="","",IF(MONTH(X25)&lt;&gt;MONTH(X25+1),"",X25+1))</f>
        <v>45971</v>
      </c>
      <c r="S26" s="6">
        <f t="shared" ref="S26:S29" si="80">IF(R26="","",IF(MONTH(R26)&lt;&gt;MONTH(R26+1),"",R26+1))</f>
        <v>45972</v>
      </c>
      <c r="T26" s="6">
        <f t="shared" si="65"/>
        <v>45973</v>
      </c>
      <c r="U26" s="6">
        <f t="shared" si="66"/>
        <v>45974</v>
      </c>
      <c r="V26" s="6">
        <f t="shared" si="67"/>
        <v>45975</v>
      </c>
      <c r="W26" s="6">
        <f t="shared" si="68"/>
        <v>45976</v>
      </c>
      <c r="X26" s="6">
        <f t="shared" si="69"/>
        <v>45977</v>
      </c>
      <c r="Y26" s="7"/>
      <c r="Z26" s="6">
        <f t="shared" ref="Z26:Z29" si="81">IF(AF25="","",IF(MONTH(AF25)&lt;&gt;MONTH(AF25+1),"",AF25+1))</f>
        <v>46006</v>
      </c>
      <c r="AA26" s="6">
        <f t="shared" ref="AA26:AA29" si="82">IF(Z26="","",IF(MONTH(Z26)&lt;&gt;MONTH(Z26+1),"",Z26+1))</f>
        <v>46007</v>
      </c>
      <c r="AB26" s="6">
        <f t="shared" si="70"/>
        <v>46008</v>
      </c>
      <c r="AC26" s="6">
        <f t="shared" si="71"/>
        <v>46009</v>
      </c>
      <c r="AD26" s="6">
        <f t="shared" si="72"/>
        <v>46010</v>
      </c>
      <c r="AE26" s="6">
        <f t="shared" si="73"/>
        <v>46011</v>
      </c>
      <c r="AF26" s="6">
        <f t="shared" si="74"/>
        <v>46012</v>
      </c>
      <c r="AG26" s="7"/>
      <c r="AH26" s="8"/>
      <c r="AI26" s="7"/>
    </row>
    <row r="27" spans="1:35" ht="15.75" x14ac:dyDescent="0.2">
      <c r="A27" s="7"/>
      <c r="B27" s="6">
        <f t="shared" si="75"/>
        <v>45922</v>
      </c>
      <c r="C27" s="6">
        <f t="shared" si="76"/>
        <v>45923</v>
      </c>
      <c r="D27" s="6">
        <f t="shared" si="55"/>
        <v>45924</v>
      </c>
      <c r="E27" s="6">
        <f t="shared" si="56"/>
        <v>45925</v>
      </c>
      <c r="F27" s="6">
        <f t="shared" si="57"/>
        <v>45926</v>
      </c>
      <c r="G27" s="6">
        <f t="shared" si="58"/>
        <v>45927</v>
      </c>
      <c r="H27" s="6">
        <f t="shared" si="59"/>
        <v>45928</v>
      </c>
      <c r="I27" s="7"/>
      <c r="J27" s="6">
        <f t="shared" si="77"/>
        <v>45950</v>
      </c>
      <c r="K27" s="6">
        <f t="shared" si="78"/>
        <v>45951</v>
      </c>
      <c r="L27" s="6">
        <f t="shared" si="60"/>
        <v>45952</v>
      </c>
      <c r="M27" s="6">
        <f t="shared" si="61"/>
        <v>45953</v>
      </c>
      <c r="N27" s="6">
        <f t="shared" si="62"/>
        <v>45954</v>
      </c>
      <c r="O27" s="6">
        <f t="shared" si="63"/>
        <v>45955</v>
      </c>
      <c r="P27" s="6">
        <f t="shared" si="64"/>
        <v>45956</v>
      </c>
      <c r="Q27" s="7"/>
      <c r="R27" s="6">
        <f t="shared" si="79"/>
        <v>45978</v>
      </c>
      <c r="S27" s="6">
        <f t="shared" si="80"/>
        <v>45979</v>
      </c>
      <c r="T27" s="6">
        <f t="shared" si="65"/>
        <v>45980</v>
      </c>
      <c r="U27" s="6">
        <f t="shared" si="66"/>
        <v>45981</v>
      </c>
      <c r="V27" s="6">
        <f t="shared" si="67"/>
        <v>45982</v>
      </c>
      <c r="W27" s="6">
        <f t="shared" si="68"/>
        <v>45983</v>
      </c>
      <c r="X27" s="6">
        <f t="shared" si="69"/>
        <v>45984</v>
      </c>
      <c r="Y27" s="7"/>
      <c r="Z27" s="6">
        <f t="shared" si="81"/>
        <v>46013</v>
      </c>
      <c r="AA27" s="6">
        <f t="shared" si="82"/>
        <v>46014</v>
      </c>
      <c r="AB27" s="6">
        <f t="shared" si="70"/>
        <v>46015</v>
      </c>
      <c r="AC27" s="6">
        <f t="shared" si="71"/>
        <v>46016</v>
      </c>
      <c r="AD27" s="6">
        <f t="shared" si="72"/>
        <v>46017</v>
      </c>
      <c r="AE27" s="6">
        <f t="shared" si="73"/>
        <v>46018</v>
      </c>
      <c r="AF27" s="6">
        <f t="shared" si="74"/>
        <v>46019</v>
      </c>
      <c r="AG27" s="7"/>
      <c r="AH27" s="8"/>
      <c r="AI27" s="7"/>
    </row>
    <row r="28" spans="1:35" ht="15.75" x14ac:dyDescent="0.2">
      <c r="A28" s="7"/>
      <c r="B28" s="6">
        <f t="shared" si="75"/>
        <v>45929</v>
      </c>
      <c r="C28" s="6">
        <f t="shared" si="76"/>
        <v>45930</v>
      </c>
      <c r="D28" s="6" t="str">
        <f t="shared" si="55"/>
        <v/>
      </c>
      <c r="E28" s="6" t="str">
        <f t="shared" si="56"/>
        <v/>
      </c>
      <c r="F28" s="6" t="str">
        <f t="shared" si="57"/>
        <v/>
      </c>
      <c r="G28" s="6" t="str">
        <f t="shared" si="58"/>
        <v/>
      </c>
      <c r="H28" s="6" t="str">
        <f t="shared" si="59"/>
        <v/>
      </c>
      <c r="I28" s="7"/>
      <c r="J28" s="6">
        <f t="shared" si="77"/>
        <v>45957</v>
      </c>
      <c r="K28" s="6">
        <f t="shared" si="78"/>
        <v>45958</v>
      </c>
      <c r="L28" s="6">
        <f t="shared" si="60"/>
        <v>45959</v>
      </c>
      <c r="M28" s="6">
        <f t="shared" si="61"/>
        <v>45960</v>
      </c>
      <c r="N28" s="6">
        <f t="shared" si="62"/>
        <v>45961</v>
      </c>
      <c r="O28" s="6" t="str">
        <f t="shared" si="63"/>
        <v/>
      </c>
      <c r="P28" s="6" t="str">
        <f t="shared" si="64"/>
        <v/>
      </c>
      <c r="Q28" s="7"/>
      <c r="R28" s="6">
        <f t="shared" si="79"/>
        <v>45985</v>
      </c>
      <c r="S28" s="6">
        <f t="shared" si="80"/>
        <v>45986</v>
      </c>
      <c r="T28" s="6">
        <f t="shared" si="65"/>
        <v>45987</v>
      </c>
      <c r="U28" s="6">
        <f t="shared" si="66"/>
        <v>45988</v>
      </c>
      <c r="V28" s="6">
        <f t="shared" si="67"/>
        <v>45989</v>
      </c>
      <c r="W28" s="6">
        <f t="shared" si="68"/>
        <v>45990</v>
      </c>
      <c r="X28" s="6">
        <f t="shared" si="69"/>
        <v>45991</v>
      </c>
      <c r="Y28" s="7"/>
      <c r="Z28" s="6">
        <f t="shared" si="81"/>
        <v>46020</v>
      </c>
      <c r="AA28" s="6">
        <f t="shared" si="82"/>
        <v>46021</v>
      </c>
      <c r="AB28" s="6">
        <f t="shared" si="70"/>
        <v>46022</v>
      </c>
      <c r="AC28" s="6" t="str">
        <f t="shared" si="71"/>
        <v/>
      </c>
      <c r="AD28" s="6" t="str">
        <f t="shared" si="72"/>
        <v/>
      </c>
      <c r="AE28" s="6" t="str">
        <f t="shared" si="73"/>
        <v/>
      </c>
      <c r="AF28" s="6" t="str">
        <f t="shared" si="74"/>
        <v/>
      </c>
      <c r="AG28" s="7"/>
      <c r="AH28" s="8"/>
      <c r="AI28" s="7"/>
    </row>
    <row r="29" spans="1:35" ht="15.75" x14ac:dyDescent="0.2">
      <c r="A29" s="7"/>
      <c r="B29" s="6" t="str">
        <f t="shared" si="75"/>
        <v/>
      </c>
      <c r="C29" s="6" t="str">
        <f t="shared" si="76"/>
        <v/>
      </c>
      <c r="D29" s="6" t="str">
        <f t="shared" si="55"/>
        <v/>
      </c>
      <c r="E29" s="6" t="str">
        <f t="shared" si="56"/>
        <v/>
      </c>
      <c r="F29" s="6" t="str">
        <f t="shared" si="57"/>
        <v/>
      </c>
      <c r="G29" s="6" t="str">
        <f t="shared" si="58"/>
        <v/>
      </c>
      <c r="H29" s="6" t="str">
        <f t="shared" si="59"/>
        <v/>
      </c>
      <c r="I29" s="7"/>
      <c r="J29" s="6" t="str">
        <f t="shared" si="77"/>
        <v/>
      </c>
      <c r="K29" s="6" t="str">
        <f t="shared" si="78"/>
        <v/>
      </c>
      <c r="L29" s="6" t="str">
        <f t="shared" si="60"/>
        <v/>
      </c>
      <c r="M29" s="6" t="str">
        <f t="shared" si="61"/>
        <v/>
      </c>
      <c r="N29" s="6" t="str">
        <f t="shared" si="62"/>
        <v/>
      </c>
      <c r="O29" s="6" t="str">
        <f t="shared" si="63"/>
        <v/>
      </c>
      <c r="P29" s="6" t="str">
        <f t="shared" si="64"/>
        <v/>
      </c>
      <c r="Q29" s="7"/>
      <c r="R29" s="6" t="str">
        <f t="shared" si="79"/>
        <v/>
      </c>
      <c r="S29" s="6" t="str">
        <f t="shared" si="80"/>
        <v/>
      </c>
      <c r="T29" s="6" t="str">
        <f t="shared" si="65"/>
        <v/>
      </c>
      <c r="U29" s="6" t="str">
        <f t="shared" si="66"/>
        <v/>
      </c>
      <c r="V29" s="6" t="str">
        <f t="shared" si="67"/>
        <v/>
      </c>
      <c r="W29" s="6" t="str">
        <f t="shared" si="68"/>
        <v/>
      </c>
      <c r="X29" s="6" t="str">
        <f t="shared" si="69"/>
        <v/>
      </c>
      <c r="Y29" s="7"/>
      <c r="Z29" s="6" t="str">
        <f t="shared" si="81"/>
        <v/>
      </c>
      <c r="AA29" s="6" t="str">
        <f t="shared" si="82"/>
        <v/>
      </c>
      <c r="AB29" s="6" t="str">
        <f t="shared" si="70"/>
        <v/>
      </c>
      <c r="AC29" s="6" t="str">
        <f t="shared" si="71"/>
        <v/>
      </c>
      <c r="AD29" s="6" t="str">
        <f t="shared" si="72"/>
        <v/>
      </c>
      <c r="AE29" s="6" t="str">
        <f t="shared" si="73"/>
        <v/>
      </c>
      <c r="AF29" s="6" t="str">
        <f t="shared" si="74"/>
        <v/>
      </c>
      <c r="AG29" s="7"/>
      <c r="AH29" s="8"/>
      <c r="AI29" s="7"/>
    </row>
    <row r="30" spans="1:35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8"/>
      <c r="AI30" s="7"/>
    </row>
    <row r="31" spans="1:35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8"/>
      <c r="AI31" s="7"/>
    </row>
    <row r="32" spans="1:35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8"/>
      <c r="AI32" s="7"/>
    </row>
    <row r="33" spans="1:35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8"/>
      <c r="AI33" s="7"/>
    </row>
    <row r="34" spans="1:35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11"/>
      <c r="AI34" s="7"/>
    </row>
  </sheetData>
  <mergeCells count="17">
    <mergeCell ref="B1:AH1"/>
    <mergeCell ref="J4:P4"/>
    <mergeCell ref="B4:H4"/>
    <mergeCell ref="B2:C2"/>
    <mergeCell ref="D2:E2"/>
    <mergeCell ref="F2:H2"/>
    <mergeCell ref="I2:L2"/>
    <mergeCell ref="R4:X4"/>
    <mergeCell ref="Z4:AF4"/>
    <mergeCell ref="B13:H13"/>
    <mergeCell ref="J13:P13"/>
    <mergeCell ref="R13:X13"/>
    <mergeCell ref="Z13:AF13"/>
    <mergeCell ref="B22:H22"/>
    <mergeCell ref="J22:P22"/>
    <mergeCell ref="R22:X22"/>
    <mergeCell ref="Z22:AF22"/>
  </mergeCells>
  <conditionalFormatting sqref="B6:H11">
    <cfRule type="containsBlanks" dxfId="36" priority="73">
      <formula>LEN(TRIM(B6))=0</formula>
    </cfRule>
    <cfRule type="expression" dxfId="35" priority="72">
      <formula>AND($AH$5&lt;&gt;"",B6=$AH$5)</formula>
    </cfRule>
    <cfRule type="cellIs" dxfId="34" priority="71" operator="equal">
      <formula>TODAY()</formula>
    </cfRule>
  </conditionalFormatting>
  <conditionalFormatting sqref="B15:H20">
    <cfRule type="containsBlanks" dxfId="33" priority="25">
      <formula>LEN(TRIM(B15))=0</formula>
    </cfRule>
    <cfRule type="expression" dxfId="32" priority="24">
      <formula>AND($AH$5&lt;&gt;"",B15=$AH$5)</formula>
    </cfRule>
    <cfRule type="cellIs" dxfId="31" priority="23" operator="equal">
      <formula>TODAY()</formula>
    </cfRule>
  </conditionalFormatting>
  <conditionalFormatting sqref="B24:H29">
    <cfRule type="cellIs" dxfId="30" priority="11" operator="equal">
      <formula>TODAY()</formula>
    </cfRule>
    <cfRule type="expression" dxfId="29" priority="12">
      <formula>AND($AH$5&lt;&gt;"",B24=$AH$5)</formula>
    </cfRule>
    <cfRule type="containsBlanks" dxfId="28" priority="13">
      <formula>LEN(TRIM(B24))=0</formula>
    </cfRule>
  </conditionalFormatting>
  <conditionalFormatting sqref="J6:P11">
    <cfRule type="containsBlanks" dxfId="27" priority="34">
      <formula>LEN(TRIM(J6))=0</formula>
    </cfRule>
    <cfRule type="expression" dxfId="26" priority="33">
      <formula>AND($AH$5&lt;&gt;"",J6=$AH$5)</formula>
    </cfRule>
    <cfRule type="cellIs" dxfId="25" priority="32" operator="equal">
      <formula>TODAY()</formula>
    </cfRule>
  </conditionalFormatting>
  <conditionalFormatting sqref="J15:P20">
    <cfRule type="cellIs" dxfId="24" priority="20" operator="equal">
      <formula>TODAY()</formula>
    </cfRule>
    <cfRule type="expression" dxfId="23" priority="21">
      <formula>AND($AH$5&lt;&gt;"",J15=$AH$5)</formula>
    </cfRule>
    <cfRule type="containsBlanks" dxfId="22" priority="22">
      <formula>LEN(TRIM(J15))=0</formula>
    </cfRule>
  </conditionalFormatting>
  <conditionalFormatting sqref="J24:P29">
    <cfRule type="cellIs" dxfId="21" priority="8" operator="equal">
      <formula>TODAY()</formula>
    </cfRule>
    <cfRule type="containsBlanks" dxfId="20" priority="10">
      <formula>LEN(TRIM(J24))=0</formula>
    </cfRule>
    <cfRule type="expression" dxfId="19" priority="9">
      <formula>AND($AH$5&lt;&gt;"",J24=$AH$5)</formula>
    </cfRule>
  </conditionalFormatting>
  <conditionalFormatting sqref="R6:X11">
    <cfRule type="cellIs" dxfId="18" priority="29" operator="equal">
      <formula>TODAY()</formula>
    </cfRule>
    <cfRule type="expression" dxfId="17" priority="30">
      <formula>AND($AH$5&lt;&gt;"",R6=$AH$5)</formula>
    </cfRule>
    <cfRule type="containsBlanks" dxfId="16" priority="31">
      <formula>LEN(TRIM(R6))=0</formula>
    </cfRule>
  </conditionalFormatting>
  <conditionalFormatting sqref="R15:X20">
    <cfRule type="containsBlanks" dxfId="15" priority="19">
      <formula>LEN(TRIM(R15))=0</formula>
    </cfRule>
    <cfRule type="expression" dxfId="14" priority="18">
      <formula>AND($AH$5&lt;&gt;"",R15=$AH$5)</formula>
    </cfRule>
    <cfRule type="cellIs" dxfId="13" priority="17" operator="equal">
      <formula>TODAY()</formula>
    </cfRule>
  </conditionalFormatting>
  <conditionalFormatting sqref="R24:X29">
    <cfRule type="cellIs" dxfId="12" priority="5" operator="equal">
      <formula>TODAY()</formula>
    </cfRule>
    <cfRule type="expression" dxfId="11" priority="6">
      <formula>AND($AH$5&lt;&gt;"",R24=$AH$5)</formula>
    </cfRule>
    <cfRule type="containsBlanks" dxfId="10" priority="7">
      <formula>LEN(TRIM(R24))=0</formula>
    </cfRule>
  </conditionalFormatting>
  <conditionalFormatting sqref="Z6:AF11">
    <cfRule type="cellIs" dxfId="9" priority="26" operator="equal">
      <formula>TODAY()</formula>
    </cfRule>
    <cfRule type="expression" dxfId="8" priority="27">
      <formula>AND($AH$5&lt;&gt;"",Z6=$AH$5)</formula>
    </cfRule>
    <cfRule type="containsBlanks" dxfId="7" priority="28">
      <formula>LEN(TRIM(Z6))=0</formula>
    </cfRule>
  </conditionalFormatting>
  <conditionalFormatting sqref="Z15:AF20">
    <cfRule type="containsBlanks" dxfId="6" priority="16">
      <formula>LEN(TRIM(Z15))=0</formula>
    </cfRule>
    <cfRule type="expression" dxfId="5" priority="15">
      <formula>AND($AH$5&lt;&gt;"",Z15=$AH$5)</formula>
    </cfRule>
    <cfRule type="cellIs" dxfId="4" priority="14" operator="equal">
      <formula>TODAY()</formula>
    </cfRule>
  </conditionalFormatting>
  <conditionalFormatting sqref="Z24:AF29">
    <cfRule type="expression" dxfId="3" priority="3">
      <formula>AND($AH$5&lt;&gt;"",Z24=$AH$5)</formula>
    </cfRule>
    <cfRule type="containsBlanks" dxfId="2" priority="4">
      <formula>LEN(TRIM(Z24))=0</formula>
    </cfRule>
    <cfRule type="cellIs" dxfId="1" priority="2" operator="equal">
      <formula>TODAY()</formula>
    </cfRule>
  </conditionalFormatting>
  <conditionalFormatting sqref="AH6:AH34">
    <cfRule type="notContainsBlanks" dxfId="0" priority="1">
      <formula>LEN(TRIM(AH6))&gt;0</formula>
    </cfRule>
  </conditionalFormatting>
  <dataValidations count="2">
    <dataValidation type="list" allowBlank="1" showInputMessage="1" showErrorMessage="1" sqref="D2:E2" xr:uid="{0EEB07EF-2268-43F6-AC3F-B20505459500}">
      <formula1>"2020,2021,2022,2023,2024,2025"</formula1>
    </dataValidation>
    <dataValidation type="list" allowBlank="1" showInputMessage="1" showErrorMessage="1" sqref="I2:L2" xr:uid="{13148983-850A-4A65-AD1F-C259BE20EC57}">
      <formula1>WeekDay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CD4B7-5B55-45A4-9470-AAEB99D31D89}">
  <sheetPr codeName="Sheet5"/>
  <dimension ref="A1"/>
  <sheetViews>
    <sheetView workbookViewId="0">
      <selection activeCell="C10" sqref="C10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35D7E-BF04-4866-94B1-C64F4FE1ED0A}">
  <sheetPr codeName="Sheet4"/>
  <dimension ref="A1"/>
  <sheetViews>
    <sheetView workbookViewId="0">
      <selection activeCell="B4" sqref="B4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82263-67AA-445E-A529-B33D60A6C5AD}">
  <sheetPr codeName="Sheet6"/>
  <dimension ref="A1"/>
  <sheetViews>
    <sheetView workbookViewId="0">
      <selection activeCell="B7" sqref="B7"/>
    </sheetView>
  </sheetViews>
  <sheetFormatPr defaultRowHeight="14.2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FFF5F-E1A8-4539-9081-6E3CC3BD9E58}">
  <sheetPr codeName="Sheet7"/>
  <dimension ref="A1"/>
  <sheetViews>
    <sheetView workbookViewId="0">
      <selection activeCell="A5" sqref="A5"/>
    </sheetView>
  </sheetViews>
  <sheetFormatPr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BE6C9-CAD7-44A2-A20E-B4E30E085A8C}">
  <sheetPr codeName="Sheet3"/>
  <dimension ref="B11:MT11"/>
  <sheetViews>
    <sheetView workbookViewId="0">
      <selection activeCell="A8" sqref="A8"/>
    </sheetView>
  </sheetViews>
  <sheetFormatPr defaultRowHeight="14.25" x14ac:dyDescent="0.2"/>
  <cols>
    <col min="2" max="2" width="20.75" customWidth="1"/>
  </cols>
  <sheetData>
    <row r="11" spans="2:358" x14ac:dyDescent="0.2">
      <c r="B11" s="13"/>
      <c r="MT11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AA4F9-33EA-46BA-AF3C-ECC5D8B1F569}">
  <sheetPr codeName="Sheet2"/>
  <dimension ref="A1:B17"/>
  <sheetViews>
    <sheetView workbookViewId="0">
      <selection activeCell="F9" sqref="F9"/>
    </sheetView>
  </sheetViews>
  <sheetFormatPr defaultRowHeight="14.25" x14ac:dyDescent="0.2"/>
  <cols>
    <col min="1" max="1" width="14.375" customWidth="1"/>
    <col min="4" max="8" width="8"/>
    <col min="9" max="9" width="14.125" customWidth="1"/>
  </cols>
  <sheetData>
    <row r="1" spans="1:2" x14ac:dyDescent="0.2">
      <c r="A1" t="s">
        <v>2</v>
      </c>
      <c r="B1" t="s">
        <v>9</v>
      </c>
    </row>
    <row r="2" spans="1:2" x14ac:dyDescent="0.2">
      <c r="A2" t="s">
        <v>3</v>
      </c>
      <c r="B2" t="s">
        <v>10</v>
      </c>
    </row>
    <row r="3" spans="1:2" x14ac:dyDescent="0.2">
      <c r="A3" t="s">
        <v>4</v>
      </c>
      <c r="B3" t="s">
        <v>11</v>
      </c>
    </row>
    <row r="4" spans="1:2" x14ac:dyDescent="0.2">
      <c r="A4" t="s">
        <v>5</v>
      </c>
      <c r="B4" t="s">
        <v>12</v>
      </c>
    </row>
    <row r="5" spans="1:2" x14ac:dyDescent="0.2">
      <c r="A5" t="s">
        <v>6</v>
      </c>
      <c r="B5" t="s">
        <v>13</v>
      </c>
    </row>
    <row r="6" spans="1:2" x14ac:dyDescent="0.2">
      <c r="A6" t="s">
        <v>7</v>
      </c>
      <c r="B6" t="s">
        <v>14</v>
      </c>
    </row>
    <row r="7" spans="1:2" x14ac:dyDescent="0.2">
      <c r="A7" t="s">
        <v>8</v>
      </c>
      <c r="B7" t="s">
        <v>15</v>
      </c>
    </row>
    <row r="8" spans="1:2" x14ac:dyDescent="0.2">
      <c r="B8">
        <f xml:space="preserve"> MATCH(StartDay,WeekDay,0)</f>
        <v>1</v>
      </c>
    </row>
    <row r="14" spans="1:2" x14ac:dyDescent="0.2">
      <c r="A14" t="s">
        <v>17</v>
      </c>
    </row>
    <row r="15" spans="1:2" x14ac:dyDescent="0.2">
      <c r="A15" t="s">
        <v>18</v>
      </c>
    </row>
    <row r="16" spans="1:2" x14ac:dyDescent="0.2">
      <c r="A16" t="s">
        <v>19</v>
      </c>
    </row>
    <row r="17" spans="1:1" x14ac:dyDescent="0.2">
      <c r="A17" t="s">
        <v>20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Schedule</vt:lpstr>
      <vt:lpstr>2021</vt:lpstr>
      <vt:lpstr>2022</vt:lpstr>
      <vt:lpstr>2023</vt:lpstr>
      <vt:lpstr>2024</vt:lpstr>
      <vt:lpstr>2025</vt:lpstr>
      <vt:lpstr>Sheet2</vt:lpstr>
      <vt:lpstr>ScYear</vt:lpstr>
      <vt:lpstr>StartDay</vt:lpstr>
      <vt:lpstr>StartDayNum</vt:lpstr>
      <vt:lpstr>WeekDay</vt:lpstr>
      <vt:lpstr>WeekDayAbb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2024-12-05T05:20:45Z</dcterms:created>
  <dcterms:modified xsi:type="dcterms:W3CDTF">2025-04-09T18:06:06Z</dcterms:modified>
</cp:coreProperties>
</file>